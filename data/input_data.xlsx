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PycharmProjects\EnergyProject\data\"/>
    </mc:Choice>
  </mc:AlternateContent>
  <xr:revisionPtr revIDLastSave="0" documentId="13_ncr:1_{E0354D64-5826-4272-8AF2-4FCEF4E52D0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rid-power" sheetId="7" r:id="rId1"/>
    <sheet name="onsite-power" sheetId="2" r:id="rId2"/>
    <sheet name="Sytem-cost" sheetId="8" r:id="rId3"/>
    <sheet name="option-offsite-power" sheetId="5" r:id="rId4"/>
    <sheet name="option-Fuel" sheetId="1" r:id="rId5"/>
    <sheet name="option-Wheeling" sheetId="3" r:id="rId6"/>
    <sheet name="WHR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t9n0Oso6SBdtVs36XjXNfbF05QNC/Tdp/hILuvLZvgc="/>
    </ext>
  </extLst>
</workbook>
</file>

<file path=xl/calcChain.xml><?xml version="1.0" encoding="utf-8"?>
<calcChain xmlns="http://schemas.openxmlformats.org/spreadsheetml/2006/main">
  <c r="D13" i="8" l="1"/>
  <c r="I9" i="2"/>
  <c r="I10" i="2"/>
  <c r="I11" i="2"/>
  <c r="I12" i="2"/>
  <c r="I7" i="2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J19" i="2"/>
  <c r="J12" i="2"/>
  <c r="K12" i="2" s="1"/>
  <c r="E12" i="2"/>
  <c r="H7" i="7"/>
  <c r="C32" i="7"/>
  <c r="C8" i="8" s="1"/>
  <c r="G7" i="7"/>
  <c r="C12" i="8"/>
  <c r="C36" i="7"/>
  <c r="C37" i="7" s="1"/>
  <c r="C17" i="2"/>
  <c r="J15" i="2"/>
  <c r="L15" i="2" s="1"/>
  <c r="J14" i="2"/>
  <c r="L14" i="2" s="1"/>
  <c r="J13" i="2"/>
  <c r="K13" i="2" s="1"/>
  <c r="J11" i="2"/>
  <c r="L11" i="2" s="1"/>
  <c r="J9" i="2"/>
  <c r="L9" i="2" s="1"/>
  <c r="E11" i="2"/>
  <c r="E10" i="2"/>
  <c r="J10" i="2" s="1"/>
  <c r="K10" i="2" s="1"/>
  <c r="E9" i="2"/>
  <c r="E8" i="2"/>
  <c r="J8" i="2" s="1"/>
  <c r="E7" i="2"/>
  <c r="J7" i="2" s="1"/>
  <c r="L7" i="2" s="1"/>
  <c r="H35" i="7"/>
  <c r="G35" i="7"/>
  <c r="I7" i="5"/>
  <c r="J7" i="5" s="1"/>
  <c r="G4" i="3"/>
  <c r="L12" i="2" l="1"/>
  <c r="G32" i="7"/>
  <c r="D8" i="8" s="1"/>
  <c r="H32" i="7"/>
  <c r="E8" i="8" s="1"/>
  <c r="H8" i="8" s="1"/>
  <c r="J8" i="8" s="1"/>
  <c r="K8" i="8" s="1"/>
  <c r="G8" i="8"/>
  <c r="L8" i="2"/>
  <c r="K8" i="2"/>
  <c r="K9" i="2"/>
  <c r="J17" i="2"/>
  <c r="K14" i="2"/>
  <c r="K15" i="2"/>
  <c r="K11" i="2"/>
  <c r="K7" i="2"/>
  <c r="L10" i="2"/>
  <c r="L13" i="2"/>
  <c r="L17" i="2" l="1"/>
  <c r="E7" i="8" s="1"/>
  <c r="C7" i="8"/>
  <c r="C10" i="8" s="1"/>
  <c r="C13" i="8" s="1"/>
  <c r="J20" i="2"/>
  <c r="K17" i="2"/>
  <c r="L18" i="2" l="1"/>
  <c r="D7" i="8"/>
  <c r="G7" i="8" s="1"/>
  <c r="K18" i="2"/>
  <c r="E10" i="8"/>
  <c r="E19" i="8" s="1"/>
  <c r="H7" i="8"/>
  <c r="J7" i="8" s="1"/>
  <c r="D10" i="8" l="1"/>
  <c r="E21" i="8" s="1"/>
  <c r="K7" i="8"/>
</calcChain>
</file>

<file path=xl/sharedStrings.xml><?xml version="1.0" encoding="utf-8"?>
<sst xmlns="http://schemas.openxmlformats.org/spreadsheetml/2006/main" count="199" uniqueCount="134">
  <si>
    <t xml:space="preserve">Installed capacity </t>
  </si>
  <si>
    <t>Transportation
(from Production site to power plant site)</t>
  </si>
  <si>
    <t>Capacity Factor</t>
  </si>
  <si>
    <t>LOCE</t>
  </si>
  <si>
    <t>Unit</t>
  </si>
  <si>
    <t>Euro/GJ</t>
  </si>
  <si>
    <t>MW</t>
  </si>
  <si>
    <t>km</t>
  </si>
  <si>
    <t>%</t>
  </si>
  <si>
    <t xml:space="preserve">Euro/(km*GJ) </t>
  </si>
  <si>
    <t>Euro/MWh</t>
  </si>
  <si>
    <t>t-CO2/MWh</t>
  </si>
  <si>
    <t>Time Resolution</t>
  </si>
  <si>
    <t>Bio-CH4 Plant-1</t>
  </si>
  <si>
    <t>Wheeling Charge</t>
  </si>
  <si>
    <t>Curtailment rate</t>
  </si>
  <si>
    <t>Emission Factor
(Carbon Density)</t>
  </si>
  <si>
    <t>Coal Power</t>
  </si>
  <si>
    <t>Bio-CH4 Plant-2</t>
  </si>
  <si>
    <t xml:space="preserve"> t-CO₂eq/MWh</t>
  </si>
  <si>
    <t>Waste Heat Recovery (WHR) Rate</t>
  </si>
  <si>
    <t>Annual</t>
  </si>
  <si>
    <t>WHU Selling Price</t>
  </si>
  <si>
    <t>Bio-CH4 Plant-3</t>
  </si>
  <si>
    <t>CO₂ emissions avoided through waste heat utilization</t>
  </si>
  <si>
    <t>t-CO2/GJ</t>
  </si>
  <si>
    <t>Nuclera</t>
  </si>
  <si>
    <t>NG Power (w/wo Bio-CH4)</t>
  </si>
  <si>
    <t>Utility Scale PV</t>
  </si>
  <si>
    <t xml:space="preserve">Wind Offshore </t>
  </si>
  <si>
    <t>Biomass power (BTG)</t>
  </si>
  <si>
    <t>Power_Name</t>
    <phoneticPr fontId="3"/>
  </si>
  <si>
    <t>capacity_factor</t>
    <phoneticPr fontId="3"/>
  </si>
  <si>
    <t>installed_capacity_mw</t>
    <phoneticPr fontId="3"/>
  </si>
  <si>
    <t>Emission Factor</t>
    <phoneticPr fontId="3"/>
  </si>
  <si>
    <t>loce_euro_mwh</t>
    <phoneticPr fontId="3"/>
  </si>
  <si>
    <t>co2_t_per_mwh</t>
    <phoneticPr fontId="3"/>
  </si>
  <si>
    <t>Power source</t>
    <phoneticPr fontId="3"/>
  </si>
  <si>
    <t>&lt;Inputs&gt;</t>
    <phoneticPr fontId="3"/>
  </si>
  <si>
    <t>&lt;Outputs&gt;</t>
    <phoneticPr fontId="3"/>
  </si>
  <si>
    <t>generation_mwh</t>
    <phoneticPr fontId="3"/>
  </si>
  <si>
    <t>a</t>
    <phoneticPr fontId="3"/>
  </si>
  <si>
    <t>b</t>
    <phoneticPr fontId="3"/>
  </si>
  <si>
    <t>c</t>
    <phoneticPr fontId="3"/>
  </si>
  <si>
    <t>d</t>
    <phoneticPr fontId="3"/>
  </si>
  <si>
    <t>Hours</t>
    <phoneticPr fontId="3"/>
  </si>
  <si>
    <t>hours_hr</t>
    <phoneticPr fontId="3"/>
  </si>
  <si>
    <t>Hour</t>
    <phoneticPr fontId="3"/>
  </si>
  <si>
    <t>e</t>
    <phoneticPr fontId="3"/>
  </si>
  <si>
    <t>Power Generation</t>
    <phoneticPr fontId="3"/>
  </si>
  <si>
    <t>kWh</t>
    <phoneticPr fontId="3"/>
  </si>
  <si>
    <t>Power Cost</t>
    <phoneticPr fontId="3"/>
  </si>
  <si>
    <t>power_cost_euro</t>
    <phoneticPr fontId="3"/>
  </si>
  <si>
    <t>Euro</t>
    <phoneticPr fontId="3"/>
  </si>
  <si>
    <t>f=(a*b*c)</t>
    <phoneticPr fontId="3"/>
  </si>
  <si>
    <t>f*d</t>
    <phoneticPr fontId="3"/>
  </si>
  <si>
    <t>power_co2_t</t>
    <phoneticPr fontId="3"/>
  </si>
  <si>
    <t>Power CO2</t>
    <phoneticPr fontId="3"/>
  </si>
  <si>
    <t>CO2</t>
    <phoneticPr fontId="3"/>
  </si>
  <si>
    <t>t-CO2</t>
    <phoneticPr fontId="3"/>
  </si>
  <si>
    <t>f*e</t>
    <phoneticPr fontId="3"/>
  </si>
  <si>
    <t>grid_electricity_price_ero_mwh</t>
    <phoneticPr fontId="3"/>
  </si>
  <si>
    <t>Grid  Price</t>
    <phoneticPr fontId="3"/>
  </si>
  <si>
    <t>Grid Amount</t>
    <phoneticPr fontId="3"/>
  </si>
  <si>
    <t>MWh</t>
    <phoneticPr fontId="3"/>
  </si>
  <si>
    <t>grid_amount_kwh</t>
    <phoneticPr fontId="3"/>
  </si>
  <si>
    <t>a*b</t>
    <phoneticPr fontId="3"/>
  </si>
  <si>
    <t>a*c</t>
    <phoneticPr fontId="3"/>
  </si>
  <si>
    <t>Time Resolution</t>
    <phoneticPr fontId="3"/>
  </si>
  <si>
    <t>Year_2025</t>
    <phoneticPr fontId="3"/>
  </si>
  <si>
    <t>[Grid]</t>
    <phoneticPr fontId="3"/>
  </si>
  <si>
    <t>[Off-site]</t>
    <phoneticPr fontId="3"/>
  </si>
  <si>
    <t>Amount</t>
    <phoneticPr fontId="3"/>
  </si>
  <si>
    <t>GJ</t>
    <phoneticPr fontId="3"/>
  </si>
  <si>
    <t>Unit Transportation Cost</t>
    <phoneticPr fontId="3"/>
  </si>
  <si>
    <t>Gas turebine</t>
    <phoneticPr fontId="3"/>
  </si>
  <si>
    <t>Coal</t>
    <phoneticPr fontId="3"/>
  </si>
  <si>
    <t>Nuclear</t>
    <phoneticPr fontId="3"/>
  </si>
  <si>
    <t>Biomass</t>
    <phoneticPr fontId="3"/>
  </si>
  <si>
    <t>Cost (Ex-Works)</t>
    <phoneticPr fontId="3"/>
  </si>
  <si>
    <t>Additionl Cost</t>
    <phoneticPr fontId="3"/>
  </si>
  <si>
    <t>additionl cost_ero_mwh</t>
    <phoneticPr fontId="3"/>
  </si>
  <si>
    <t>f</t>
    <phoneticPr fontId="3"/>
  </si>
  <si>
    <t>g=(a*b*c)</t>
    <phoneticPr fontId="3"/>
  </si>
  <si>
    <t>f*(d+e)</t>
    <phoneticPr fontId="3"/>
  </si>
  <si>
    <t>g*</t>
    <phoneticPr fontId="3"/>
  </si>
  <si>
    <t>Total</t>
    <phoneticPr fontId="3"/>
  </si>
  <si>
    <t>MW</t>
    <phoneticPr fontId="3"/>
  </si>
  <si>
    <t>Ref</t>
    <phoneticPr fontId="3"/>
  </si>
  <si>
    <t>constraints =100M</t>
    <phoneticPr fontId="3"/>
  </si>
  <si>
    <t>carbon_price_eueo_co2_t</t>
    <phoneticPr fontId="3"/>
  </si>
  <si>
    <t>Carbon Price</t>
    <phoneticPr fontId="3"/>
  </si>
  <si>
    <t>Euro/t-CO2</t>
    <phoneticPr fontId="3"/>
  </si>
  <si>
    <t>CO2 offset cost</t>
    <phoneticPr fontId="3"/>
  </si>
  <si>
    <t>Grid Power</t>
    <phoneticPr fontId="3"/>
  </si>
  <si>
    <t>Onsit Power</t>
    <phoneticPr fontId="3"/>
  </si>
  <si>
    <t>Power Amount</t>
    <phoneticPr fontId="3"/>
  </si>
  <si>
    <t>System Total Cost</t>
    <phoneticPr fontId="3"/>
  </si>
  <si>
    <t>Objective: Minimization</t>
    <phoneticPr fontId="3"/>
  </si>
  <si>
    <t>Euro/MWh</t>
    <phoneticPr fontId="3"/>
  </si>
  <si>
    <t>t-CO2/MWh</t>
    <phoneticPr fontId="3"/>
  </si>
  <si>
    <t>Wind</t>
    <phoneticPr fontId="3"/>
  </si>
  <si>
    <t>CO2 Cost</t>
    <phoneticPr fontId="3"/>
  </si>
  <si>
    <t>Euro/MWh (w CO2)</t>
    <phoneticPr fontId="3"/>
  </si>
  <si>
    <t>BioCH4-Gas Turebine</t>
    <phoneticPr fontId="3"/>
  </si>
  <si>
    <t>Spring-00</t>
    <phoneticPr fontId="3"/>
  </si>
  <si>
    <t>Spring-04</t>
    <phoneticPr fontId="3"/>
  </si>
  <si>
    <t>Spring-08</t>
    <phoneticPr fontId="3"/>
  </si>
  <si>
    <t>Spring-12</t>
    <phoneticPr fontId="3"/>
  </si>
  <si>
    <t>Spring-16</t>
    <phoneticPr fontId="3"/>
  </si>
  <si>
    <t>Spring-20</t>
    <phoneticPr fontId="3"/>
  </si>
  <si>
    <t>Summer-00</t>
    <phoneticPr fontId="3"/>
  </si>
  <si>
    <t>Summer-04</t>
    <phoneticPr fontId="3"/>
  </si>
  <si>
    <t>Summer-08</t>
    <phoneticPr fontId="3"/>
  </si>
  <si>
    <t>Summer-12</t>
    <phoneticPr fontId="3"/>
  </si>
  <si>
    <t>Summer-16</t>
    <phoneticPr fontId="3"/>
  </si>
  <si>
    <t>Summer-20</t>
    <phoneticPr fontId="3"/>
  </si>
  <si>
    <t>Fall-00</t>
    <phoneticPr fontId="3"/>
  </si>
  <si>
    <t>Fall-04</t>
    <phoneticPr fontId="3"/>
  </si>
  <si>
    <t>Fall-08</t>
    <phoneticPr fontId="3"/>
  </si>
  <si>
    <t>Fall-16</t>
    <phoneticPr fontId="3"/>
  </si>
  <si>
    <t>Fall-12</t>
    <phoneticPr fontId="3"/>
  </si>
  <si>
    <t>Fall-20</t>
    <phoneticPr fontId="3"/>
  </si>
  <si>
    <t>Winter-00</t>
    <phoneticPr fontId="3"/>
  </si>
  <si>
    <t>Winter-04</t>
    <phoneticPr fontId="3"/>
  </si>
  <si>
    <t>Winter-08</t>
    <phoneticPr fontId="3"/>
  </si>
  <si>
    <t>Winter-12</t>
    <phoneticPr fontId="3"/>
  </si>
  <si>
    <t>Winter-16</t>
    <phoneticPr fontId="3"/>
  </si>
  <si>
    <t>Winter-20</t>
    <phoneticPr fontId="3"/>
  </si>
  <si>
    <t>a*b=ac</t>
    <phoneticPr fontId="3"/>
  </si>
  <si>
    <t>wind</t>
    <phoneticPr fontId="3"/>
  </si>
  <si>
    <t>coal</t>
    <phoneticPr fontId="3"/>
  </si>
  <si>
    <t>gas</t>
    <phoneticPr fontId="3"/>
  </si>
  <si>
    <t>grid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</si>
</sst>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;[Red]\-#,##0.000"/>
    <numFmt numFmtId="177" formatCode="0.000"/>
  </numFmts>
  <fonts count="9">
    <font>
      <sz val="11"/>
      <color theme="1"/>
      <name val="Aptos Narrow"/>
      <scheme val="minor"/>
    </font>
    <font>
      <sz val="11"/>
      <color theme="1"/>
      <name val="游ゴシック"/>
      <family val="3"/>
      <charset val="128"/>
    </font>
    <font>
      <sz val="11"/>
      <color theme="1"/>
      <name val="Aptos Narrow"/>
      <family val="3"/>
      <charset val="129"/>
      <scheme val="minor"/>
    </font>
    <font>
      <sz val="6"/>
      <name val="Aptos Narrow"/>
      <family val="3"/>
      <charset val="128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u/>
      <sz val="11"/>
      <color theme="1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38" fontId="2" fillId="0" borderId="0" applyFont="0" applyFill="0" applyBorder="0" applyAlignment="0" applyProtection="0">
      <alignment vertical="center"/>
    </xf>
  </cellStyleXfs>
  <cellXfs count="7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38" fontId="5" fillId="0" borderId="0" xfId="1" applyFont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38" fontId="5" fillId="0" borderId="5" xfId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vertical="center"/>
    </xf>
    <xf numFmtId="9" fontId="5" fillId="0" borderId="4" xfId="0" applyNumberFormat="1" applyFont="1" applyBorder="1" applyAlignment="1">
      <alignment vertical="center"/>
    </xf>
    <xf numFmtId="2" fontId="5" fillId="0" borderId="10" xfId="0" applyNumberFormat="1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2" fontId="5" fillId="0" borderId="23" xfId="0" applyNumberFormat="1" applyFont="1" applyBorder="1" applyAlignment="1">
      <alignment vertical="center"/>
    </xf>
    <xf numFmtId="2" fontId="5" fillId="0" borderId="22" xfId="0" applyNumberFormat="1" applyFont="1" applyBorder="1" applyAlignment="1">
      <alignment vertical="center"/>
    </xf>
    <xf numFmtId="38" fontId="5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38" fontId="7" fillId="0" borderId="0" xfId="0" applyNumberFormat="1" applyFont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38" fontId="7" fillId="0" borderId="0" xfId="1" applyFont="1" applyAlignment="1">
      <alignment vertical="center"/>
    </xf>
    <xf numFmtId="38" fontId="5" fillId="0" borderId="5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38" fontId="5" fillId="0" borderId="27" xfId="0" applyNumberFormat="1" applyFont="1" applyBorder="1" applyAlignment="1">
      <alignment vertical="center"/>
    </xf>
    <xf numFmtId="176" fontId="5" fillId="0" borderId="0" xfId="1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2" fontId="8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38" fontId="5" fillId="2" borderId="5" xfId="1" applyFont="1" applyFill="1" applyBorder="1" applyAlignment="1">
      <alignment vertical="center"/>
    </xf>
    <xf numFmtId="38" fontId="5" fillId="0" borderId="0" xfId="1" applyNumberFormat="1" applyFont="1" applyAlignment="1">
      <alignment vertical="center"/>
    </xf>
    <xf numFmtId="38" fontId="0" fillId="2" borderId="5" xfId="1" applyFont="1" applyFill="1" applyBorder="1" applyAlignment="1">
      <alignment vertical="center"/>
    </xf>
    <xf numFmtId="177" fontId="5" fillId="0" borderId="10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3D8C-85A1-415D-A021-C3439AEC4633}">
  <dimension ref="B1:H1017"/>
  <sheetViews>
    <sheetView showGridLines="0" topLeftCell="B1" workbookViewId="0">
      <selection activeCell="D12" sqref="D12"/>
    </sheetView>
  </sheetViews>
  <sheetFormatPr defaultColWidth="12.6328125" defaultRowHeight="15" customHeight="1"/>
  <cols>
    <col min="1" max="1" width="7.6328125" customWidth="1"/>
    <col min="2" max="2" width="19.6328125" customWidth="1"/>
    <col min="3" max="3" width="19.08984375" customWidth="1"/>
    <col min="4" max="4" width="35.36328125" customWidth="1"/>
    <col min="5" max="5" width="22.54296875" customWidth="1"/>
    <col min="6" max="6" width="7.6328125" customWidth="1"/>
    <col min="7" max="7" width="19.08984375" customWidth="1"/>
    <col min="8" max="8" width="15.54296875" customWidth="1"/>
    <col min="9" max="23" width="7.6328125" customWidth="1"/>
  </cols>
  <sheetData>
    <row r="1" spans="2:8" ht="18" customHeight="1">
      <c r="B1" s="3" t="s">
        <v>70</v>
      </c>
      <c r="C1" s="3"/>
      <c r="D1" s="3"/>
      <c r="E1" s="3"/>
      <c r="F1" s="3"/>
      <c r="H1" s="3"/>
    </row>
    <row r="2" spans="2:8" ht="18" customHeight="1">
      <c r="B2" s="3" t="s">
        <v>38</v>
      </c>
      <c r="C2" s="3"/>
      <c r="D2" s="3"/>
      <c r="E2" s="3"/>
      <c r="F2" s="3"/>
      <c r="G2" s="3" t="s">
        <v>39</v>
      </c>
      <c r="H2" s="3"/>
    </row>
    <row r="3" spans="2:8" ht="18" customHeight="1">
      <c r="B3" s="3"/>
      <c r="C3" s="3" t="s">
        <v>65</v>
      </c>
      <c r="D3" s="4" t="s">
        <v>61</v>
      </c>
      <c r="E3" s="4" t="s">
        <v>36</v>
      </c>
      <c r="F3" s="3"/>
      <c r="G3" s="4" t="s">
        <v>52</v>
      </c>
      <c r="H3" s="4" t="s">
        <v>56</v>
      </c>
    </row>
    <row r="4" spans="2:8" ht="18" customHeight="1">
      <c r="B4" s="3"/>
      <c r="C4" s="28" t="s">
        <v>41</v>
      </c>
      <c r="D4" s="5" t="s">
        <v>42</v>
      </c>
      <c r="E4" s="5" t="s">
        <v>43</v>
      </c>
      <c r="F4" s="3"/>
      <c r="G4" s="5" t="s">
        <v>66</v>
      </c>
      <c r="H4" s="5" t="s">
        <v>67</v>
      </c>
    </row>
    <row r="5" spans="2:8" ht="18" customHeight="1">
      <c r="B5" s="49" t="s">
        <v>68</v>
      </c>
      <c r="C5" s="52" t="s">
        <v>63</v>
      </c>
      <c r="D5" s="50" t="s">
        <v>62</v>
      </c>
      <c r="E5" s="51" t="s">
        <v>34</v>
      </c>
      <c r="F5" s="3"/>
      <c r="G5" s="13" t="s">
        <v>51</v>
      </c>
      <c r="H5" s="13" t="s">
        <v>57</v>
      </c>
    </row>
    <row r="6" spans="2:8" ht="18" customHeight="1">
      <c r="B6" s="11"/>
      <c r="C6" s="53" t="s">
        <v>64</v>
      </c>
      <c r="D6" s="13" t="s">
        <v>10</v>
      </c>
      <c r="E6" s="13" t="s">
        <v>11</v>
      </c>
      <c r="F6" s="3"/>
      <c r="G6" s="13" t="s">
        <v>53</v>
      </c>
      <c r="H6" s="13" t="s">
        <v>59</v>
      </c>
    </row>
    <row r="7" spans="2:8" ht="18" customHeight="1">
      <c r="B7" s="11" t="s">
        <v>105</v>
      </c>
      <c r="C7" s="68">
        <v>11250</v>
      </c>
      <c r="D7" s="9">
        <v>89</v>
      </c>
      <c r="E7" s="71">
        <v>0.39</v>
      </c>
      <c r="F7" s="3"/>
      <c r="G7" s="12">
        <f>+D7*C7</f>
        <v>1001250</v>
      </c>
      <c r="H7" s="12">
        <f>+E7*C7</f>
        <v>4387.5</v>
      </c>
    </row>
    <row r="8" spans="2:8" ht="18" customHeight="1">
      <c r="B8" s="11" t="s">
        <v>106</v>
      </c>
      <c r="C8" s="70">
        <v>11250</v>
      </c>
      <c r="D8" s="9">
        <v>89</v>
      </c>
      <c r="E8" s="71">
        <v>0.39500000000000002</v>
      </c>
      <c r="F8" s="3"/>
      <c r="G8" s="12">
        <f t="shared" ref="G8:G30" si="0">+D8*C8</f>
        <v>1001250</v>
      </c>
      <c r="H8" s="12">
        <f t="shared" ref="H8:H30" si="1">+E8*C8</f>
        <v>4443.75</v>
      </c>
    </row>
    <row r="9" spans="2:8" ht="18" customHeight="1">
      <c r="B9" s="11" t="s">
        <v>107</v>
      </c>
      <c r="C9" s="70">
        <v>11250</v>
      </c>
      <c r="D9" s="9">
        <v>89</v>
      </c>
      <c r="E9" s="71">
        <v>0.3</v>
      </c>
      <c r="F9" s="3"/>
      <c r="G9" s="12">
        <f t="shared" si="0"/>
        <v>1001250</v>
      </c>
      <c r="H9" s="12">
        <f t="shared" si="1"/>
        <v>3375</v>
      </c>
    </row>
    <row r="10" spans="2:8" ht="18" customHeight="1">
      <c r="B10" s="11" t="s">
        <v>108</v>
      </c>
      <c r="C10" s="70">
        <v>11250</v>
      </c>
      <c r="D10" s="9">
        <v>89</v>
      </c>
      <c r="E10" s="71">
        <v>0.20499999999999999</v>
      </c>
      <c r="F10" s="3"/>
      <c r="G10" s="12">
        <f t="shared" si="0"/>
        <v>1001250</v>
      </c>
      <c r="H10" s="12">
        <f t="shared" si="1"/>
        <v>2306.25</v>
      </c>
    </row>
    <row r="11" spans="2:8" ht="18" customHeight="1">
      <c r="B11" s="11" t="s">
        <v>109</v>
      </c>
      <c r="C11" s="70">
        <v>11250</v>
      </c>
      <c r="D11" s="9">
        <v>89</v>
      </c>
      <c r="E11" s="71">
        <v>0.32</v>
      </c>
      <c r="F11" s="3"/>
      <c r="G11" s="12">
        <f t="shared" si="0"/>
        <v>1001250</v>
      </c>
      <c r="H11" s="12">
        <f t="shared" si="1"/>
        <v>3600</v>
      </c>
    </row>
    <row r="12" spans="2:8" ht="18" customHeight="1">
      <c r="B12" s="11" t="s">
        <v>110</v>
      </c>
      <c r="C12" s="70">
        <v>11250</v>
      </c>
      <c r="D12" s="9">
        <v>89</v>
      </c>
      <c r="E12" s="71">
        <v>0.38</v>
      </c>
      <c r="G12" s="12">
        <f t="shared" si="0"/>
        <v>1001250</v>
      </c>
      <c r="H12" s="12">
        <f t="shared" si="1"/>
        <v>4275</v>
      </c>
    </row>
    <row r="13" spans="2:8" ht="18" customHeight="1">
      <c r="B13" s="11" t="s">
        <v>111</v>
      </c>
      <c r="C13" s="70">
        <v>11250</v>
      </c>
      <c r="D13" s="9">
        <v>89</v>
      </c>
      <c r="E13" s="71">
        <v>0.3</v>
      </c>
      <c r="G13" s="12">
        <f t="shared" si="0"/>
        <v>1001250</v>
      </c>
      <c r="H13" s="12">
        <f t="shared" si="1"/>
        <v>3375</v>
      </c>
    </row>
    <row r="14" spans="2:8" ht="18" customHeight="1">
      <c r="B14" s="11" t="s">
        <v>112</v>
      </c>
      <c r="C14" s="70">
        <v>11250</v>
      </c>
      <c r="D14" s="9">
        <v>89</v>
      </c>
      <c r="E14" s="71">
        <v>0.28999999999999998</v>
      </c>
      <c r="G14" s="12">
        <f t="shared" si="0"/>
        <v>1001250</v>
      </c>
      <c r="H14" s="12">
        <f t="shared" si="1"/>
        <v>3262.5</v>
      </c>
    </row>
    <row r="15" spans="2:8" ht="18" customHeight="1">
      <c r="B15" s="11" t="s">
        <v>113</v>
      </c>
      <c r="C15" s="70">
        <v>11250</v>
      </c>
      <c r="D15" s="9">
        <v>89</v>
      </c>
      <c r="E15" s="71">
        <v>0.22</v>
      </c>
      <c r="G15" s="12">
        <f t="shared" si="0"/>
        <v>1001250</v>
      </c>
      <c r="H15" s="12">
        <f t="shared" si="1"/>
        <v>2475</v>
      </c>
    </row>
    <row r="16" spans="2:8" ht="18" customHeight="1">
      <c r="B16" s="11" t="s">
        <v>114</v>
      </c>
      <c r="C16" s="70">
        <v>11250</v>
      </c>
      <c r="D16" s="9">
        <v>89</v>
      </c>
      <c r="E16" s="71">
        <v>0.16</v>
      </c>
      <c r="G16" s="12">
        <f t="shared" si="0"/>
        <v>1001250</v>
      </c>
      <c r="H16" s="12">
        <f t="shared" si="1"/>
        <v>1800</v>
      </c>
    </row>
    <row r="17" spans="2:8" ht="18" customHeight="1">
      <c r="B17" s="11" t="s">
        <v>115</v>
      </c>
      <c r="C17" s="70">
        <v>11250</v>
      </c>
      <c r="D17" s="9">
        <v>89</v>
      </c>
      <c r="E17" s="71">
        <v>0.25</v>
      </c>
      <c r="G17" s="12">
        <f t="shared" si="0"/>
        <v>1001250</v>
      </c>
      <c r="H17" s="12">
        <f t="shared" si="1"/>
        <v>2812.5</v>
      </c>
    </row>
    <row r="18" spans="2:8" ht="18" customHeight="1">
      <c r="B18" s="11" t="s">
        <v>116</v>
      </c>
      <c r="C18" s="70">
        <v>11250</v>
      </c>
      <c r="D18" s="9">
        <v>89</v>
      </c>
      <c r="E18" s="71">
        <v>0.376</v>
      </c>
      <c r="G18" s="12">
        <f t="shared" si="0"/>
        <v>1001250</v>
      </c>
      <c r="H18" s="12">
        <f t="shared" si="1"/>
        <v>4230</v>
      </c>
    </row>
    <row r="19" spans="2:8" ht="18" customHeight="1">
      <c r="B19" s="11" t="s">
        <v>117</v>
      </c>
      <c r="C19" s="70">
        <v>11250</v>
      </c>
      <c r="D19" s="9">
        <v>89</v>
      </c>
      <c r="E19" s="71">
        <v>0.32</v>
      </c>
      <c r="G19" s="12">
        <f t="shared" si="0"/>
        <v>1001250</v>
      </c>
      <c r="H19" s="12">
        <f t="shared" si="1"/>
        <v>3600</v>
      </c>
    </row>
    <row r="20" spans="2:8" ht="18" customHeight="1">
      <c r="B20" s="11" t="s">
        <v>118</v>
      </c>
      <c r="C20" s="70">
        <v>11250</v>
      </c>
      <c r="D20" s="9">
        <v>89</v>
      </c>
      <c r="E20" s="71">
        <v>0.31</v>
      </c>
      <c r="G20" s="12">
        <f t="shared" si="0"/>
        <v>1001250</v>
      </c>
      <c r="H20" s="12">
        <f t="shared" si="1"/>
        <v>3487.5</v>
      </c>
    </row>
    <row r="21" spans="2:8" ht="18" customHeight="1">
      <c r="B21" s="11" t="s">
        <v>119</v>
      </c>
      <c r="C21" s="70">
        <v>11250</v>
      </c>
      <c r="D21" s="9">
        <v>89</v>
      </c>
      <c r="E21" s="71">
        <v>0.33</v>
      </c>
      <c r="G21" s="12">
        <f t="shared" si="0"/>
        <v>1001250</v>
      </c>
      <c r="H21" s="12">
        <f t="shared" si="1"/>
        <v>3712.5</v>
      </c>
    </row>
    <row r="22" spans="2:8" ht="18" customHeight="1">
      <c r="B22" s="11" t="s">
        <v>121</v>
      </c>
      <c r="C22" s="70">
        <v>11250</v>
      </c>
      <c r="D22" s="9">
        <v>89</v>
      </c>
      <c r="E22" s="71">
        <v>0.26</v>
      </c>
      <c r="G22" s="12">
        <f t="shared" si="0"/>
        <v>1001250</v>
      </c>
      <c r="H22" s="12">
        <f t="shared" si="1"/>
        <v>2925</v>
      </c>
    </row>
    <row r="23" spans="2:8" ht="18" customHeight="1">
      <c r="B23" s="11" t="s">
        <v>120</v>
      </c>
      <c r="C23" s="70">
        <v>11250</v>
      </c>
      <c r="D23" s="9">
        <v>89</v>
      </c>
      <c r="E23" s="71">
        <v>0.37</v>
      </c>
      <c r="G23" s="12">
        <f t="shared" si="0"/>
        <v>1001250</v>
      </c>
      <c r="H23" s="12">
        <f t="shared" si="1"/>
        <v>4162.5</v>
      </c>
    </row>
    <row r="24" spans="2:8" ht="18" customHeight="1">
      <c r="B24" s="11" t="s">
        <v>122</v>
      </c>
      <c r="C24" s="70">
        <v>11250</v>
      </c>
      <c r="D24" s="9">
        <v>89</v>
      </c>
      <c r="E24" s="71">
        <v>0.34</v>
      </c>
      <c r="G24" s="12">
        <f t="shared" si="0"/>
        <v>1001250</v>
      </c>
      <c r="H24" s="12">
        <f t="shared" si="1"/>
        <v>3825.0000000000005</v>
      </c>
    </row>
    <row r="25" spans="2:8" ht="18" customHeight="1">
      <c r="B25" s="11" t="s">
        <v>123</v>
      </c>
      <c r="C25" s="70">
        <v>11250</v>
      </c>
      <c r="D25" s="9">
        <v>89</v>
      </c>
      <c r="E25" s="71">
        <v>0.37</v>
      </c>
      <c r="G25" s="12">
        <f t="shared" si="0"/>
        <v>1001250</v>
      </c>
      <c r="H25" s="12">
        <f t="shared" si="1"/>
        <v>4162.5</v>
      </c>
    </row>
    <row r="26" spans="2:8" ht="18" customHeight="1">
      <c r="B26" s="11" t="s">
        <v>124</v>
      </c>
      <c r="C26" s="70">
        <v>11250</v>
      </c>
      <c r="D26" s="9">
        <v>89</v>
      </c>
      <c r="E26" s="71">
        <v>0.36</v>
      </c>
      <c r="G26" s="12">
        <f t="shared" si="0"/>
        <v>1001250</v>
      </c>
      <c r="H26" s="12">
        <f t="shared" si="1"/>
        <v>4050</v>
      </c>
    </row>
    <row r="27" spans="2:8" ht="18" customHeight="1">
      <c r="B27" s="11" t="s">
        <v>125</v>
      </c>
      <c r="C27" s="70">
        <v>11250</v>
      </c>
      <c r="D27" s="9">
        <v>89</v>
      </c>
      <c r="E27" s="71">
        <v>0.38</v>
      </c>
      <c r="G27" s="12">
        <f t="shared" si="0"/>
        <v>1001250</v>
      </c>
      <c r="H27" s="12">
        <f t="shared" si="1"/>
        <v>4275</v>
      </c>
    </row>
    <row r="28" spans="2:8" ht="18" customHeight="1">
      <c r="B28" s="11" t="s">
        <v>126</v>
      </c>
      <c r="C28" s="70">
        <v>11250</v>
      </c>
      <c r="D28" s="9">
        <v>89</v>
      </c>
      <c r="E28" s="71">
        <v>0.35499999999999998</v>
      </c>
      <c r="G28" s="12">
        <f t="shared" si="0"/>
        <v>1001250</v>
      </c>
      <c r="H28" s="12">
        <f t="shared" si="1"/>
        <v>3993.75</v>
      </c>
    </row>
    <row r="29" spans="2:8" ht="18" customHeight="1">
      <c r="B29" s="11" t="s">
        <v>127</v>
      </c>
      <c r="C29" s="70">
        <v>11250</v>
      </c>
      <c r="D29" s="9">
        <v>89</v>
      </c>
      <c r="E29" s="71">
        <v>0.4</v>
      </c>
      <c r="G29" s="12">
        <f t="shared" si="0"/>
        <v>1001250</v>
      </c>
      <c r="H29" s="12">
        <f t="shared" si="1"/>
        <v>4500</v>
      </c>
    </row>
    <row r="30" spans="2:8" ht="18" customHeight="1">
      <c r="B30" s="11" t="s">
        <v>128</v>
      </c>
      <c r="C30" s="70">
        <v>11250</v>
      </c>
      <c r="D30" s="9">
        <v>89</v>
      </c>
      <c r="E30" s="71">
        <v>0.39</v>
      </c>
      <c r="G30" s="12">
        <f t="shared" si="0"/>
        <v>1001250</v>
      </c>
      <c r="H30" s="12">
        <f t="shared" si="1"/>
        <v>4387.5</v>
      </c>
    </row>
    <row r="31" spans="2:8" ht="18" customHeight="1">
      <c r="B31" s="3"/>
      <c r="C31" s="3"/>
      <c r="D31" s="3"/>
      <c r="E31" s="3"/>
      <c r="F31" s="3"/>
      <c r="G31" s="3"/>
      <c r="H31" s="3"/>
    </row>
    <row r="32" spans="2:8" ht="18" customHeight="1">
      <c r="B32" s="47" t="s">
        <v>86</v>
      </c>
      <c r="C32" s="48">
        <f>SUM(C7:C30)</f>
        <v>270000</v>
      </c>
      <c r="D32" s="47"/>
      <c r="E32" s="47"/>
      <c r="F32" s="47"/>
      <c r="G32" s="60">
        <f>SUM(G7:G30)</f>
        <v>24030000</v>
      </c>
      <c r="H32" s="60">
        <f>SUM(H7:H30)</f>
        <v>87423.75</v>
      </c>
    </row>
    <row r="33" spans="2:8" ht="18" customHeight="1">
      <c r="B33" s="3"/>
      <c r="C33" s="3"/>
      <c r="D33" s="3"/>
      <c r="E33" s="3"/>
      <c r="F33" s="3"/>
      <c r="G33" s="3"/>
      <c r="H33" s="3"/>
    </row>
    <row r="34" spans="2:8" ht="18" customHeight="1">
      <c r="B34" s="47"/>
      <c r="C34" s="48"/>
      <c r="D34" s="47"/>
      <c r="E34" s="47"/>
      <c r="F34" s="47"/>
      <c r="G34" s="48"/>
      <c r="H34" s="48"/>
    </row>
    <row r="35" spans="2:8" ht="18" customHeight="1">
      <c r="B35" s="11" t="s">
        <v>69</v>
      </c>
      <c r="C35" s="12">
        <v>270000</v>
      </c>
      <c r="D35" s="11">
        <v>89</v>
      </c>
      <c r="E35" s="11">
        <v>0.33500000000000002</v>
      </c>
      <c r="F35" s="3"/>
      <c r="G35" s="12">
        <f>+D35*C35</f>
        <v>24030000</v>
      </c>
      <c r="H35" s="12">
        <f>+E35*C35</f>
        <v>90450</v>
      </c>
    </row>
    <row r="36" spans="2:8" ht="18" customHeight="1">
      <c r="B36" s="3"/>
      <c r="C36" s="3">
        <f>24*365</f>
        <v>8760</v>
      </c>
      <c r="D36" s="3"/>
      <c r="E36" s="3"/>
      <c r="F36" s="3"/>
      <c r="G36" s="3"/>
      <c r="H36" s="3"/>
    </row>
    <row r="37" spans="2:8" ht="18" customHeight="1">
      <c r="B37" s="46" t="s">
        <v>88</v>
      </c>
      <c r="C37" s="8">
        <f>+C35/C36</f>
        <v>30.82191780821918</v>
      </c>
      <c r="D37" s="3" t="s">
        <v>87</v>
      </c>
      <c r="E37" s="3"/>
      <c r="F37" s="3"/>
      <c r="G37" s="3"/>
      <c r="H37" s="3"/>
    </row>
    <row r="38" spans="2:8" ht="18" customHeight="1">
      <c r="B38" s="3"/>
      <c r="C38" s="3"/>
      <c r="D38" s="3"/>
      <c r="E38" s="3"/>
      <c r="F38" s="3"/>
      <c r="G38" s="3"/>
      <c r="H38" s="3"/>
    </row>
    <row r="39" spans="2:8" ht="18" customHeight="1"/>
    <row r="40" spans="2:8" ht="18" customHeight="1"/>
    <row r="41" spans="2:8" ht="18" customHeight="1"/>
    <row r="42" spans="2:8" ht="18" customHeight="1"/>
    <row r="43" spans="2:8" ht="18" customHeight="1"/>
    <row r="44" spans="2:8" ht="18" customHeight="1"/>
    <row r="45" spans="2:8" ht="18" customHeight="1"/>
    <row r="46" spans="2:8" ht="18" customHeight="1"/>
    <row r="47" spans="2:8" ht="18" customHeight="1"/>
    <row r="48" spans="2: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</sheetData>
  <phoneticPr fontId="3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1"/>
  <sheetViews>
    <sheetView showGridLines="0" tabSelected="1" workbookViewId="0">
      <selection activeCell="E13" sqref="E13"/>
    </sheetView>
  </sheetViews>
  <sheetFormatPr defaultColWidth="12.6328125" defaultRowHeight="15" customHeight="1"/>
  <cols>
    <col min="1" max="1" width="7.6328125" customWidth="1"/>
    <col min="2" max="2" width="30.08984375" customWidth="1"/>
    <col min="3" max="3" width="22.36328125" customWidth="1"/>
    <col min="4" max="4" width="20.1796875" customWidth="1"/>
    <col min="5" max="5" width="16.6328125" customWidth="1"/>
    <col min="6" max="6" width="16.90625" customWidth="1"/>
    <col min="7" max="7" width="25.36328125" customWidth="1"/>
    <col min="8" max="8" width="22.54296875" customWidth="1"/>
    <col min="9" max="9" width="12.6328125" customWidth="1"/>
    <col min="10" max="10" width="17" customWidth="1"/>
    <col min="11" max="11" width="19.08984375" customWidth="1"/>
    <col min="12" max="12" width="15.54296875" customWidth="1"/>
    <col min="13" max="27" width="7.6328125" customWidth="1"/>
  </cols>
  <sheetData>
    <row r="1" spans="1:12" ht="15" customHeight="1">
      <c r="B1" s="3" t="s">
        <v>71</v>
      </c>
      <c r="C1">
        <v>100</v>
      </c>
    </row>
    <row r="2" spans="1:12" ht="18" customHeight="1">
      <c r="B2" s="3" t="s">
        <v>38</v>
      </c>
      <c r="C2" s="3"/>
      <c r="D2" s="3"/>
      <c r="E2" s="3"/>
      <c r="F2" s="3" t="s">
        <v>129</v>
      </c>
      <c r="G2" s="3"/>
      <c r="H2" s="3"/>
      <c r="I2" s="3"/>
      <c r="J2" s="3" t="s">
        <v>39</v>
      </c>
      <c r="K2" s="3"/>
      <c r="L2" s="3"/>
    </row>
    <row r="3" spans="1:12" ht="18" customHeight="1">
      <c r="B3" s="4" t="s">
        <v>31</v>
      </c>
      <c r="C3" s="4" t="s">
        <v>33</v>
      </c>
      <c r="D3" s="4" t="s">
        <v>32</v>
      </c>
      <c r="E3" s="4" t="s">
        <v>46</v>
      </c>
      <c r="F3" s="4" t="s">
        <v>35</v>
      </c>
      <c r="G3" s="4" t="s">
        <v>81</v>
      </c>
      <c r="H3" s="4" t="s">
        <v>36</v>
      </c>
      <c r="I3" s="3"/>
      <c r="J3" s="4" t="s">
        <v>40</v>
      </c>
      <c r="K3" s="4" t="s">
        <v>52</v>
      </c>
      <c r="L3" s="4" t="s">
        <v>56</v>
      </c>
    </row>
    <row r="4" spans="1:12" ht="14.4" customHeight="1">
      <c r="B4" s="4"/>
      <c r="C4" s="5" t="s">
        <v>41</v>
      </c>
      <c r="D4" s="5" t="s">
        <v>42</v>
      </c>
      <c r="E4" s="5" t="s">
        <v>43</v>
      </c>
      <c r="F4" s="5" t="s">
        <v>44</v>
      </c>
      <c r="G4" s="5" t="s">
        <v>48</v>
      </c>
      <c r="H4" s="5" t="s">
        <v>82</v>
      </c>
      <c r="I4" s="3"/>
      <c r="J4" s="5" t="s">
        <v>83</v>
      </c>
      <c r="K4" s="5" t="s">
        <v>84</v>
      </c>
      <c r="L4" s="5" t="s">
        <v>85</v>
      </c>
    </row>
    <row r="5" spans="1:12" ht="18" customHeight="1">
      <c r="B5" s="22" t="s">
        <v>37</v>
      </c>
      <c r="C5" s="56" t="s">
        <v>0</v>
      </c>
      <c r="D5" s="15" t="s">
        <v>2</v>
      </c>
      <c r="E5" s="15" t="s">
        <v>45</v>
      </c>
      <c r="F5" s="15" t="s">
        <v>3</v>
      </c>
      <c r="G5" s="42" t="s">
        <v>80</v>
      </c>
      <c r="H5" s="16" t="s">
        <v>34</v>
      </c>
      <c r="I5" s="3"/>
      <c r="J5" s="13" t="s">
        <v>49</v>
      </c>
      <c r="K5" s="13" t="s">
        <v>51</v>
      </c>
      <c r="L5" s="13" t="s">
        <v>57</v>
      </c>
    </row>
    <row r="6" spans="1:12" ht="18" customHeight="1">
      <c r="A6">
        <v>100</v>
      </c>
      <c r="B6" s="25" t="s">
        <v>4</v>
      </c>
      <c r="C6" s="57" t="s">
        <v>6</v>
      </c>
      <c r="D6" s="38" t="s">
        <v>8</v>
      </c>
      <c r="E6" s="38" t="s">
        <v>47</v>
      </c>
      <c r="F6" s="38" t="s">
        <v>10</v>
      </c>
      <c r="G6" s="38" t="s">
        <v>10</v>
      </c>
      <c r="H6" s="39" t="s">
        <v>11</v>
      </c>
      <c r="I6" s="3"/>
      <c r="J6" s="13" t="s">
        <v>50</v>
      </c>
      <c r="K6" s="13" t="s">
        <v>53</v>
      </c>
      <c r="L6" s="13" t="s">
        <v>59</v>
      </c>
    </row>
    <row r="7" spans="1:12" ht="18" customHeight="1">
      <c r="A7">
        <v>35</v>
      </c>
      <c r="B7" s="23" t="s">
        <v>101</v>
      </c>
      <c r="C7" s="58">
        <v>100</v>
      </c>
      <c r="D7" s="35">
        <v>0.35</v>
      </c>
      <c r="E7" s="7">
        <f>24*365</f>
        <v>8760</v>
      </c>
      <c r="F7" s="65">
        <v>80</v>
      </c>
      <c r="G7" s="44">
        <v>0</v>
      </c>
      <c r="H7" s="17">
        <v>0</v>
      </c>
      <c r="I7" s="3">
        <f>C7*D7</f>
        <v>35</v>
      </c>
      <c r="J7" s="12">
        <f>+C7*D7*E7</f>
        <v>306600</v>
      </c>
      <c r="K7" s="12">
        <f>+J7*(F7+G7)</f>
        <v>24528000</v>
      </c>
      <c r="L7" s="11">
        <f>+H7*J7</f>
        <v>0</v>
      </c>
    </row>
    <row r="8" spans="1:12" ht="18" customHeight="1">
      <c r="A8">
        <v>65</v>
      </c>
      <c r="B8" s="24" t="s">
        <v>75</v>
      </c>
      <c r="C8" s="59">
        <v>100</v>
      </c>
      <c r="D8" s="36">
        <v>1</v>
      </c>
      <c r="E8" s="10">
        <f>24*365</f>
        <v>8760</v>
      </c>
      <c r="F8" s="66">
        <v>100</v>
      </c>
      <c r="G8" s="43">
        <v>0</v>
      </c>
      <c r="H8" s="18">
        <v>0.35</v>
      </c>
      <c r="I8" s="3">
        <v>0</v>
      </c>
      <c r="J8" s="12">
        <f t="shared" ref="J8:J15" si="0">+C8*D8*E8</f>
        <v>876000</v>
      </c>
      <c r="K8" s="12">
        <f t="shared" ref="K8:K15" si="1">+J8*(F8+G8)</f>
        <v>87600000</v>
      </c>
      <c r="L8" s="12">
        <f t="shared" ref="L8:L15" si="2">+H8*J8</f>
        <v>306600</v>
      </c>
    </row>
    <row r="9" spans="1:12" ht="18" customHeight="1">
      <c r="B9" s="24" t="s">
        <v>76</v>
      </c>
      <c r="C9" s="59">
        <v>10</v>
      </c>
      <c r="D9" s="36">
        <v>1</v>
      </c>
      <c r="E9" s="10">
        <f t="shared" ref="E9:E11" si="3">24*365</f>
        <v>8760</v>
      </c>
      <c r="F9" s="66">
        <v>70</v>
      </c>
      <c r="G9" s="43">
        <v>0</v>
      </c>
      <c r="H9" s="18">
        <v>0.85</v>
      </c>
      <c r="I9" s="3">
        <f t="shared" ref="I9:I12" si="4">C9*D9</f>
        <v>10</v>
      </c>
      <c r="J9" s="12">
        <f t="shared" si="0"/>
        <v>87600</v>
      </c>
      <c r="K9" s="12">
        <f t="shared" si="1"/>
        <v>6132000</v>
      </c>
      <c r="L9" s="12">
        <f t="shared" si="2"/>
        <v>74460</v>
      </c>
    </row>
    <row r="10" spans="1:12" ht="18" customHeight="1">
      <c r="B10" s="24" t="s">
        <v>77</v>
      </c>
      <c r="C10" s="59">
        <v>0</v>
      </c>
      <c r="D10" s="36">
        <v>1</v>
      </c>
      <c r="E10" s="10">
        <f t="shared" si="3"/>
        <v>8760</v>
      </c>
      <c r="F10" s="67">
        <v>150</v>
      </c>
      <c r="G10" s="43">
        <v>0</v>
      </c>
      <c r="H10" s="18">
        <v>0</v>
      </c>
      <c r="I10" s="3">
        <f t="shared" si="4"/>
        <v>0</v>
      </c>
      <c r="J10" s="12">
        <f t="shared" si="0"/>
        <v>0</v>
      </c>
      <c r="K10" s="12">
        <f t="shared" si="1"/>
        <v>0</v>
      </c>
      <c r="L10" s="12">
        <f t="shared" si="2"/>
        <v>0</v>
      </c>
    </row>
    <row r="11" spans="1:12" ht="18" customHeight="1">
      <c r="B11" s="24" t="s">
        <v>78</v>
      </c>
      <c r="C11" s="59">
        <v>10</v>
      </c>
      <c r="D11" s="36">
        <v>1</v>
      </c>
      <c r="E11" s="10">
        <f t="shared" si="3"/>
        <v>8760</v>
      </c>
      <c r="F11" s="67">
        <v>200</v>
      </c>
      <c r="G11" s="43">
        <v>0</v>
      </c>
      <c r="H11" s="37">
        <v>0.1</v>
      </c>
      <c r="I11" s="3">
        <f t="shared" si="4"/>
        <v>10</v>
      </c>
      <c r="J11" s="12">
        <f t="shared" si="0"/>
        <v>87600</v>
      </c>
      <c r="K11" s="12">
        <f t="shared" si="1"/>
        <v>17520000</v>
      </c>
      <c r="L11" s="12">
        <f t="shared" si="2"/>
        <v>8760</v>
      </c>
    </row>
    <row r="12" spans="1:12" ht="18" customHeight="1">
      <c r="B12" s="25" t="s">
        <v>104</v>
      </c>
      <c r="C12" s="59">
        <v>10</v>
      </c>
      <c r="D12" s="36">
        <v>1</v>
      </c>
      <c r="E12" s="10">
        <f>24*365</f>
        <v>8760</v>
      </c>
      <c r="F12" s="66">
        <v>350</v>
      </c>
      <c r="G12" s="43">
        <v>0</v>
      </c>
      <c r="H12" s="18">
        <v>0</v>
      </c>
      <c r="I12" s="3">
        <f t="shared" si="4"/>
        <v>10</v>
      </c>
      <c r="J12" s="12">
        <f t="shared" ref="J12" si="5">+C12*D12*E12</f>
        <v>87600</v>
      </c>
      <c r="K12" s="12">
        <f t="shared" ref="K12" si="6">+J12*(F12+G12)</f>
        <v>30660000</v>
      </c>
      <c r="L12" s="12">
        <f t="shared" ref="L12" si="7">+H12*J12</f>
        <v>0</v>
      </c>
    </row>
    <row r="13" spans="1:12" ht="18" customHeight="1">
      <c r="B13" s="11"/>
      <c r="C13" s="54"/>
      <c r="D13" s="11"/>
      <c r="E13" s="11"/>
      <c r="F13" s="11"/>
      <c r="G13" s="11"/>
      <c r="H13" s="11"/>
      <c r="I13" s="3"/>
      <c r="J13" s="12">
        <f t="shared" si="0"/>
        <v>0</v>
      </c>
      <c r="K13" s="12">
        <f t="shared" si="1"/>
        <v>0</v>
      </c>
      <c r="L13" s="12">
        <f t="shared" si="2"/>
        <v>0</v>
      </c>
    </row>
    <row r="14" spans="1:12" ht="18" customHeight="1">
      <c r="B14" s="72"/>
      <c r="C14" s="55"/>
      <c r="D14" s="26"/>
      <c r="E14" s="26"/>
      <c r="F14" s="26"/>
      <c r="G14" s="26"/>
      <c r="H14" s="26"/>
      <c r="J14" s="12">
        <f t="shared" si="0"/>
        <v>0</v>
      </c>
      <c r="K14" s="12">
        <f t="shared" si="1"/>
        <v>0</v>
      </c>
      <c r="L14" s="12">
        <f t="shared" si="2"/>
        <v>0</v>
      </c>
    </row>
    <row r="15" spans="1:12" ht="18" customHeight="1">
      <c r="B15" s="26"/>
      <c r="C15" s="55"/>
      <c r="D15" s="26"/>
      <c r="E15" s="26"/>
      <c r="F15" s="26"/>
      <c r="G15" s="26"/>
      <c r="H15" s="26"/>
      <c r="J15" s="12">
        <f t="shared" si="0"/>
        <v>0</v>
      </c>
      <c r="K15" s="12">
        <f t="shared" si="1"/>
        <v>0</v>
      </c>
      <c r="L15" s="12">
        <f t="shared" si="2"/>
        <v>0</v>
      </c>
    </row>
    <row r="16" spans="1:12" ht="18" customHeight="1">
      <c r="B16" s="3"/>
      <c r="C16" s="3"/>
      <c r="D16" s="3">
        <v>70</v>
      </c>
      <c r="E16" s="3">
        <v>30</v>
      </c>
      <c r="F16" s="3"/>
      <c r="G16" s="3"/>
      <c r="H16" s="3"/>
      <c r="I16" s="3"/>
      <c r="J16" s="3"/>
      <c r="K16" s="3"/>
      <c r="L16" s="3"/>
    </row>
    <row r="17" spans="2:12" ht="18" customHeight="1">
      <c r="B17" s="47" t="s">
        <v>86</v>
      </c>
      <c r="C17" s="47">
        <f>SUM(C7:C15)</f>
        <v>230</v>
      </c>
      <c r="D17" s="47"/>
      <c r="E17" s="47"/>
      <c r="F17" s="47"/>
      <c r="G17" s="47"/>
      <c r="H17" s="47"/>
      <c r="I17" s="47"/>
      <c r="J17" s="60">
        <f t="shared" ref="J17:L17" si="8">SUM(J7:J15)</f>
        <v>1445400</v>
      </c>
      <c r="K17" s="60">
        <f t="shared" si="8"/>
        <v>166440000</v>
      </c>
      <c r="L17" s="60">
        <f t="shared" si="8"/>
        <v>389820</v>
      </c>
    </row>
    <row r="18" spans="2:12" ht="18" customHeight="1">
      <c r="B18" s="3"/>
      <c r="C18" s="3" t="s">
        <v>89</v>
      </c>
      <c r="D18" s="3"/>
      <c r="E18" s="3"/>
      <c r="F18" s="3"/>
      <c r="G18" s="3"/>
      <c r="H18" s="3"/>
      <c r="I18" s="3"/>
      <c r="J18" s="3"/>
      <c r="K18" s="69">
        <f>+K17/J17</f>
        <v>115.15151515151516</v>
      </c>
      <c r="L18" s="64">
        <f>+L17/J17</f>
        <v>0.26969696969696971</v>
      </c>
    </row>
    <row r="19" spans="2:12" ht="18" customHeight="1">
      <c r="B19" s="3"/>
      <c r="C19" s="3"/>
      <c r="D19" s="3"/>
      <c r="E19" s="3"/>
      <c r="F19" s="3"/>
      <c r="G19" s="3"/>
      <c r="H19" s="3"/>
      <c r="I19" s="3"/>
      <c r="J19" s="3">
        <f>24*365</f>
        <v>8760</v>
      </c>
    </row>
    <row r="20" spans="2:12" ht="18" customHeight="1">
      <c r="B20" s="3"/>
      <c r="C20" s="3"/>
      <c r="D20" s="3"/>
      <c r="E20" s="3"/>
      <c r="F20" s="3"/>
      <c r="G20" s="3"/>
      <c r="H20" s="3"/>
      <c r="I20" s="3"/>
      <c r="J20" s="3">
        <f>+J17/J19</f>
        <v>165</v>
      </c>
    </row>
    <row r="21" spans="2:12" ht="18" customHeight="1">
      <c r="B21" s="3"/>
      <c r="C21" s="3"/>
      <c r="D21" s="3"/>
      <c r="E21" s="3"/>
      <c r="F21" s="3">
        <v>100</v>
      </c>
      <c r="G21" s="3"/>
      <c r="H21" s="3">
        <v>30</v>
      </c>
      <c r="I21" s="3"/>
      <c r="J21" s="3"/>
    </row>
    <row r="22" spans="2:12" ht="18" customHeight="1">
      <c r="E22" s="1" t="s">
        <v>130</v>
      </c>
      <c r="F22">
        <v>30</v>
      </c>
      <c r="G22">
        <v>60</v>
      </c>
    </row>
    <row r="23" spans="2:12" ht="18" customHeight="1">
      <c r="E23" s="1" t="s">
        <v>131</v>
      </c>
      <c r="F23">
        <v>40</v>
      </c>
      <c r="G23">
        <v>80</v>
      </c>
    </row>
    <row r="24" spans="2:12" ht="18" customHeight="1">
      <c r="E24" s="1" t="s">
        <v>132</v>
      </c>
      <c r="F24">
        <v>40</v>
      </c>
      <c r="G24">
        <v>100</v>
      </c>
    </row>
    <row r="25" spans="2:12" ht="18" customHeight="1">
      <c r="E25" s="1" t="s">
        <v>133</v>
      </c>
      <c r="G25">
        <v>90</v>
      </c>
    </row>
    <row r="26" spans="2:12" ht="18" customHeight="1"/>
    <row r="27" spans="2:12" ht="18" customHeight="1"/>
    <row r="28" spans="2:12" ht="18" customHeight="1"/>
    <row r="29" spans="2:12" ht="18" customHeight="1"/>
    <row r="30" spans="2:12" ht="18" customHeight="1"/>
    <row r="31" spans="2:12" ht="18" customHeight="1"/>
    <row r="32" spans="2:1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</sheetData>
  <phoneticPr fontId="3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F04D-1317-45DF-96E0-3C3A6018007C}">
  <dimension ref="A3:K23"/>
  <sheetViews>
    <sheetView topLeftCell="A2" workbookViewId="0">
      <selection activeCell="B20" sqref="B20"/>
    </sheetView>
  </sheetViews>
  <sheetFormatPr defaultRowHeight="14"/>
  <cols>
    <col min="2" max="2" width="26.1796875" customWidth="1"/>
    <col min="3" max="3" width="16.453125" customWidth="1"/>
    <col min="4" max="4" width="13.81640625" customWidth="1"/>
    <col min="5" max="5" width="16.6328125" customWidth="1"/>
    <col min="7" max="7" width="12.08984375" customWidth="1"/>
    <col min="8" max="8" width="12.81640625" customWidth="1"/>
  </cols>
  <sheetData>
    <row r="3" spans="1:11">
      <c r="A3" s="3"/>
      <c r="B3" s="3"/>
      <c r="C3" s="3"/>
      <c r="D3" s="3"/>
      <c r="E3" s="3"/>
      <c r="F3" s="3"/>
      <c r="G3" s="3"/>
    </row>
    <row r="4" spans="1:11">
      <c r="A4" s="3"/>
      <c r="B4" s="3"/>
      <c r="C4" s="3"/>
      <c r="D4" s="3"/>
      <c r="E4" s="3"/>
      <c r="F4" s="3"/>
      <c r="G4" s="3" t="s">
        <v>88</v>
      </c>
    </row>
    <row r="5" spans="1:11">
      <c r="A5" s="3"/>
      <c r="B5" s="13"/>
      <c r="C5" s="13" t="s">
        <v>96</v>
      </c>
      <c r="D5" s="13" t="s">
        <v>51</v>
      </c>
      <c r="E5" s="13" t="s">
        <v>58</v>
      </c>
      <c r="F5" s="3"/>
      <c r="G5" s="3"/>
    </row>
    <row r="6" spans="1:11">
      <c r="A6" s="3"/>
      <c r="B6" s="13"/>
      <c r="C6" s="13" t="s">
        <v>64</v>
      </c>
      <c r="D6" s="13" t="s">
        <v>53</v>
      </c>
      <c r="E6" s="13" t="s">
        <v>59</v>
      </c>
      <c r="F6" s="3"/>
      <c r="G6" s="3" t="s">
        <v>99</v>
      </c>
      <c r="H6" s="3" t="s">
        <v>100</v>
      </c>
      <c r="J6" s="3" t="s">
        <v>102</v>
      </c>
      <c r="K6" s="3" t="s">
        <v>103</v>
      </c>
    </row>
    <row r="7" spans="1:11">
      <c r="A7" s="3"/>
      <c r="B7" s="11" t="s">
        <v>95</v>
      </c>
      <c r="C7" s="61">
        <f>+'onsite-power'!J17</f>
        <v>1445400</v>
      </c>
      <c r="D7" s="61">
        <f>+'onsite-power'!K17</f>
        <v>166440000</v>
      </c>
      <c r="E7" s="61">
        <f>+'onsite-power'!L17</f>
        <v>389820</v>
      </c>
      <c r="F7" s="3"/>
      <c r="G7" s="8">
        <f>+D7/C7</f>
        <v>115.15151515151516</v>
      </c>
      <c r="H7" s="64">
        <f>+E7/C7</f>
        <v>0.26969696969696971</v>
      </c>
      <c r="J7" s="8">
        <f>+H7*B17</f>
        <v>53.939393939393945</v>
      </c>
      <c r="K7" s="45">
        <f>+J7+G7</f>
        <v>169.09090909090909</v>
      </c>
    </row>
    <row r="8" spans="1:11">
      <c r="A8" s="3"/>
      <c r="B8" s="11" t="s">
        <v>94</v>
      </c>
      <c r="C8" s="61">
        <f>+'grid-power'!C32</f>
        <v>270000</v>
      </c>
      <c r="D8" s="61">
        <f>+'grid-power'!G32</f>
        <v>24030000</v>
      </c>
      <c r="E8" s="61">
        <f>+'grid-power'!H32</f>
        <v>87423.75</v>
      </c>
      <c r="F8" s="3"/>
      <c r="G8" s="3">
        <f>+D8/C8</f>
        <v>89</v>
      </c>
      <c r="H8" s="3">
        <f>+E8/C8</f>
        <v>0.32379166666666664</v>
      </c>
      <c r="J8" s="3">
        <f>+H8*B17</f>
        <v>64.758333333333326</v>
      </c>
      <c r="K8" s="3">
        <f>+J8+G8</f>
        <v>153.75833333333333</v>
      </c>
    </row>
    <row r="9" spans="1:11">
      <c r="A9" s="3"/>
      <c r="B9" s="62"/>
      <c r="C9" s="62"/>
      <c r="D9" s="62"/>
      <c r="E9" s="62"/>
      <c r="F9" s="3"/>
      <c r="G9" s="3"/>
    </row>
    <row r="10" spans="1:11">
      <c r="A10" s="3"/>
      <c r="B10" s="47" t="s">
        <v>86</v>
      </c>
      <c r="C10" s="48">
        <f>SUM(C7:C8)</f>
        <v>1715400</v>
      </c>
      <c r="D10" s="48">
        <f t="shared" ref="D10:E10" si="0">SUM(D7:D8)</f>
        <v>190470000</v>
      </c>
      <c r="E10" s="48">
        <f t="shared" si="0"/>
        <v>477243.75</v>
      </c>
      <c r="F10" s="3"/>
      <c r="G10" s="3"/>
    </row>
    <row r="11" spans="1:11">
      <c r="A11" s="3"/>
      <c r="B11" s="3"/>
      <c r="C11" s="3"/>
      <c r="D11" s="3"/>
      <c r="E11" s="3"/>
      <c r="F11" s="3"/>
      <c r="G11" s="3"/>
    </row>
    <row r="12" spans="1:11">
      <c r="A12" s="3"/>
      <c r="B12" s="3"/>
      <c r="C12" s="3">
        <f>24*365</f>
        <v>8760</v>
      </c>
      <c r="D12" s="3"/>
      <c r="E12" s="3"/>
      <c r="F12" s="3"/>
      <c r="G12" s="3"/>
    </row>
    <row r="13" spans="1:11">
      <c r="A13" s="3"/>
      <c r="C13" s="8">
        <f>+C10/C12</f>
        <v>195.82191780821918</v>
      </c>
      <c r="D13" s="3">
        <f>100</f>
        <v>100</v>
      </c>
      <c r="E13" s="3"/>
      <c r="F13" s="3"/>
      <c r="G13" s="3"/>
    </row>
    <row r="14" spans="1:11">
      <c r="A14" s="3"/>
      <c r="B14" s="3" t="s">
        <v>90</v>
      </c>
      <c r="C14" s="3"/>
      <c r="D14" s="3"/>
      <c r="E14" s="3"/>
      <c r="F14" s="3"/>
      <c r="G14" s="3"/>
    </row>
    <row r="15" spans="1:11">
      <c r="A15" s="3"/>
      <c r="B15" s="11" t="s">
        <v>91</v>
      </c>
      <c r="C15" s="3"/>
      <c r="D15" s="3"/>
      <c r="E15" s="3"/>
      <c r="F15" s="3"/>
      <c r="G15" s="3"/>
    </row>
    <row r="16" spans="1:11">
      <c r="A16" s="3"/>
      <c r="B16" s="11" t="s">
        <v>92</v>
      </c>
      <c r="C16" s="3"/>
      <c r="D16" s="3"/>
      <c r="E16" s="3"/>
      <c r="F16" s="3"/>
      <c r="G16" s="3"/>
    </row>
    <row r="17" spans="1:7">
      <c r="A17" s="3"/>
      <c r="B17" s="11">
        <v>200</v>
      </c>
      <c r="D17" s="3"/>
      <c r="E17" s="11" t="s">
        <v>93</v>
      </c>
      <c r="F17" s="3"/>
      <c r="G17" s="3"/>
    </row>
    <row r="18" spans="1:7">
      <c r="A18" s="3"/>
      <c r="B18" s="3"/>
      <c r="D18" s="3"/>
      <c r="E18" s="13" t="s">
        <v>53</v>
      </c>
      <c r="F18" s="3"/>
      <c r="G18" s="3"/>
    </row>
    <row r="19" spans="1:7">
      <c r="A19" s="3"/>
      <c r="B19" s="3"/>
      <c r="D19" s="3"/>
      <c r="E19" s="12">
        <f>+B17*E10</f>
        <v>95448750</v>
      </c>
      <c r="F19" s="3"/>
      <c r="G19" s="3"/>
    </row>
    <row r="20" spans="1:7" ht="14.5" thickBot="1"/>
    <row r="21" spans="1:7" ht="21.65" customHeight="1" thickBot="1">
      <c r="C21" s="3"/>
      <c r="D21" s="46" t="s">
        <v>97</v>
      </c>
      <c r="E21" s="63">
        <f>+E19+D10</f>
        <v>285918750</v>
      </c>
    </row>
    <row r="22" spans="1:7">
      <c r="C22" s="3"/>
      <c r="E22" s="2" t="s">
        <v>98</v>
      </c>
    </row>
    <row r="23" spans="1:7">
      <c r="C23" s="3"/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45A1-BB67-4E42-BE19-77FC35051B00}">
  <dimension ref="B1:K1000"/>
  <sheetViews>
    <sheetView showGridLines="0" workbookViewId="0">
      <selection activeCell="B6" sqref="B6"/>
    </sheetView>
  </sheetViews>
  <sheetFormatPr defaultColWidth="12.6328125" defaultRowHeight="15" customHeight="1"/>
  <cols>
    <col min="1" max="1" width="7.6328125" customWidth="1"/>
    <col min="2" max="2" width="30.08984375" customWidth="1"/>
    <col min="3" max="3" width="22.36328125" customWidth="1"/>
    <col min="4" max="4" width="20.1796875" customWidth="1"/>
    <col min="5" max="5" width="16.6328125" customWidth="1"/>
    <col min="6" max="6" width="16.90625" customWidth="1"/>
    <col min="7" max="7" width="22.54296875" customWidth="1"/>
    <col min="8" max="8" width="7.6328125" customWidth="1"/>
    <col min="9" max="9" width="17" customWidth="1"/>
    <col min="10" max="10" width="19.08984375" customWidth="1"/>
    <col min="11" max="11" width="15.54296875" customWidth="1"/>
    <col min="12" max="26" width="7.6328125" customWidth="1"/>
  </cols>
  <sheetData>
    <row r="1" spans="2:11" ht="15" customHeight="1">
      <c r="B1" s="3" t="s">
        <v>71</v>
      </c>
    </row>
    <row r="2" spans="2:11" ht="18" customHeight="1">
      <c r="B2" s="3" t="s">
        <v>38</v>
      </c>
      <c r="C2" s="3"/>
      <c r="D2" s="3"/>
      <c r="E2" s="3"/>
      <c r="F2" s="3"/>
      <c r="G2" s="3"/>
      <c r="H2" s="3"/>
      <c r="I2" s="3" t="s">
        <v>39</v>
      </c>
      <c r="J2" s="3"/>
      <c r="K2" s="3"/>
    </row>
    <row r="3" spans="2:11" ht="18" customHeight="1">
      <c r="B3" s="4" t="s">
        <v>31</v>
      </c>
      <c r="C3" s="4" t="s">
        <v>33</v>
      </c>
      <c r="D3" s="4" t="s">
        <v>32</v>
      </c>
      <c r="E3" s="4" t="s">
        <v>46</v>
      </c>
      <c r="F3" s="4" t="s">
        <v>35</v>
      </c>
      <c r="G3" s="4" t="s">
        <v>36</v>
      </c>
      <c r="H3" s="3"/>
      <c r="I3" s="4" t="s">
        <v>40</v>
      </c>
      <c r="J3" s="4" t="s">
        <v>52</v>
      </c>
      <c r="K3" s="4" t="s">
        <v>56</v>
      </c>
    </row>
    <row r="4" spans="2:11" ht="18" customHeight="1">
      <c r="B4" s="4"/>
      <c r="C4" s="5" t="s">
        <v>41</v>
      </c>
      <c r="D4" s="5" t="s">
        <v>42</v>
      </c>
      <c r="E4" s="5" t="s">
        <v>43</v>
      </c>
      <c r="F4" s="5" t="s">
        <v>44</v>
      </c>
      <c r="G4" s="5" t="s">
        <v>48</v>
      </c>
      <c r="H4" s="3"/>
      <c r="I4" s="5" t="s">
        <v>54</v>
      </c>
      <c r="J4" s="5" t="s">
        <v>55</v>
      </c>
      <c r="K4" s="5" t="s">
        <v>60</v>
      </c>
    </row>
    <row r="5" spans="2:11" ht="18" customHeight="1">
      <c r="B5" s="22" t="s">
        <v>37</v>
      </c>
      <c r="C5" s="14" t="s">
        <v>0</v>
      </c>
      <c r="D5" s="15" t="s">
        <v>2</v>
      </c>
      <c r="E5" s="15" t="s">
        <v>45</v>
      </c>
      <c r="F5" s="15" t="s">
        <v>3</v>
      </c>
      <c r="G5" s="16" t="s">
        <v>34</v>
      </c>
      <c r="H5" s="3"/>
      <c r="I5" s="13" t="s">
        <v>49</v>
      </c>
      <c r="J5" s="13" t="s">
        <v>51</v>
      </c>
      <c r="K5" s="13" t="s">
        <v>57</v>
      </c>
    </row>
    <row r="6" spans="2:11" ht="18" customHeight="1">
      <c r="B6" s="25" t="s">
        <v>4</v>
      </c>
      <c r="C6" s="40" t="s">
        <v>6</v>
      </c>
      <c r="D6" s="38" t="s">
        <v>8</v>
      </c>
      <c r="E6" s="38" t="s">
        <v>47</v>
      </c>
      <c r="F6" s="38" t="s">
        <v>10</v>
      </c>
      <c r="G6" s="39" t="s">
        <v>11</v>
      </c>
      <c r="H6" s="3"/>
      <c r="I6" s="13" t="s">
        <v>50</v>
      </c>
      <c r="J6" s="13" t="s">
        <v>53</v>
      </c>
      <c r="K6" s="13" t="s">
        <v>59</v>
      </c>
    </row>
    <row r="7" spans="2:11" ht="18" customHeight="1">
      <c r="B7" s="23" t="s">
        <v>17</v>
      </c>
      <c r="C7" s="6">
        <v>100</v>
      </c>
      <c r="D7" s="7">
        <v>90</v>
      </c>
      <c r="E7" s="7">
        <v>1</v>
      </c>
      <c r="F7" s="7">
        <v>100</v>
      </c>
      <c r="G7" s="17">
        <v>0.5</v>
      </c>
      <c r="H7" s="3"/>
      <c r="I7" s="12">
        <f>+C7*D7*E7</f>
        <v>9000</v>
      </c>
      <c r="J7" s="12">
        <f>+I7*G7</f>
        <v>4500</v>
      </c>
      <c r="K7" s="11"/>
    </row>
    <row r="8" spans="2:11" ht="18" customHeight="1">
      <c r="B8" s="24" t="s">
        <v>26</v>
      </c>
      <c r="C8" s="9"/>
      <c r="D8" s="10"/>
      <c r="E8" s="10"/>
      <c r="F8" s="10"/>
      <c r="G8" s="18"/>
      <c r="H8" s="3"/>
      <c r="I8" s="11"/>
      <c r="J8" s="11"/>
      <c r="K8" s="11"/>
    </row>
    <row r="9" spans="2:11" ht="18" customHeight="1">
      <c r="B9" s="24" t="s">
        <v>27</v>
      </c>
      <c r="C9" s="9"/>
      <c r="D9" s="10"/>
      <c r="E9" s="10"/>
      <c r="F9" s="10"/>
      <c r="G9" s="18"/>
      <c r="H9" s="3"/>
      <c r="I9" s="11"/>
      <c r="J9" s="11"/>
      <c r="K9" s="11"/>
    </row>
    <row r="10" spans="2:11" ht="18" customHeight="1">
      <c r="B10" s="24" t="s">
        <v>28</v>
      </c>
      <c r="C10" s="9"/>
      <c r="D10" s="10"/>
      <c r="E10" s="10"/>
      <c r="F10" s="10"/>
      <c r="G10" s="18"/>
      <c r="H10" s="3"/>
      <c r="I10" s="11"/>
      <c r="J10" s="11"/>
      <c r="K10" s="11"/>
    </row>
    <row r="11" spans="2:11" ht="18" customHeight="1">
      <c r="B11" s="24" t="s">
        <v>29</v>
      </c>
      <c r="C11" s="9"/>
      <c r="D11" s="10"/>
      <c r="E11" s="10"/>
      <c r="F11" s="10"/>
      <c r="G11" s="18"/>
      <c r="H11" s="3"/>
      <c r="I11" s="11"/>
      <c r="J11" s="11"/>
      <c r="K11" s="11"/>
    </row>
    <row r="12" spans="2:11" ht="18" customHeight="1">
      <c r="B12" s="25" t="s">
        <v>30</v>
      </c>
      <c r="C12" s="19"/>
      <c r="D12" s="20"/>
      <c r="E12" s="20"/>
      <c r="F12" s="20"/>
      <c r="G12" s="21"/>
      <c r="H12" s="3"/>
      <c r="I12" s="11"/>
      <c r="J12" s="11"/>
      <c r="K12" s="11"/>
    </row>
    <row r="13" spans="2:11" ht="18" customHeight="1">
      <c r="B13" s="11"/>
      <c r="C13" s="11"/>
      <c r="D13" s="11"/>
      <c r="E13" s="11"/>
      <c r="F13" s="11"/>
      <c r="G13" s="11"/>
      <c r="H13" s="3"/>
      <c r="I13" s="11"/>
      <c r="J13" s="11"/>
      <c r="K13" s="11"/>
    </row>
    <row r="14" spans="2:11" ht="18" customHeight="1">
      <c r="B14" s="26"/>
      <c r="C14" s="26"/>
      <c r="D14" s="26"/>
      <c r="E14" s="26"/>
      <c r="F14" s="26"/>
      <c r="G14" s="26"/>
      <c r="I14" s="26"/>
      <c r="J14" s="26"/>
      <c r="K14" s="26"/>
    </row>
    <row r="15" spans="2:11" ht="18" customHeight="1">
      <c r="B15" s="26"/>
      <c r="C15" s="26"/>
      <c r="D15" s="26"/>
      <c r="E15" s="26"/>
      <c r="F15" s="26"/>
      <c r="G15" s="26"/>
      <c r="I15" s="26"/>
      <c r="J15" s="26"/>
      <c r="K15" s="26"/>
    </row>
    <row r="16" spans="2:11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honeticPr fontId="3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4"/>
  <sheetViews>
    <sheetView showGridLines="0" workbookViewId="0">
      <selection activeCell="D14" sqref="D14"/>
    </sheetView>
  </sheetViews>
  <sheetFormatPr defaultColWidth="12.6328125" defaultRowHeight="15" customHeight="1"/>
  <cols>
    <col min="1" max="1" width="3" customWidth="1"/>
    <col min="2" max="3" width="20.81640625" customWidth="1"/>
    <col min="4" max="4" width="28.1796875" customWidth="1"/>
    <col min="5" max="5" width="17.6328125" customWidth="1"/>
    <col min="6" max="6" width="25.6328125" customWidth="1"/>
    <col min="7" max="7" width="1.90625" customWidth="1"/>
    <col min="8" max="27" width="7.6328125" customWidth="1"/>
  </cols>
  <sheetData>
    <row r="1" spans="1:8" ht="15" customHeight="1">
      <c r="A1" s="3"/>
      <c r="B1" s="3"/>
      <c r="C1" s="3"/>
      <c r="D1" s="3"/>
      <c r="E1" s="3"/>
      <c r="F1" s="3"/>
      <c r="G1" s="3"/>
      <c r="H1" s="3"/>
    </row>
    <row r="2" spans="1:8" ht="15" customHeight="1">
      <c r="A2" s="3"/>
      <c r="B2" s="3"/>
      <c r="C2" s="3"/>
      <c r="D2" s="3"/>
      <c r="E2" s="3"/>
      <c r="F2" s="3"/>
      <c r="G2" s="3"/>
      <c r="H2" s="3"/>
    </row>
    <row r="3" spans="1:8" ht="15" customHeight="1">
      <c r="A3" s="3"/>
      <c r="B3" s="3"/>
      <c r="C3" s="3"/>
      <c r="D3" s="3"/>
      <c r="E3" s="3"/>
      <c r="F3" s="3"/>
      <c r="G3" s="3"/>
      <c r="H3" s="3"/>
    </row>
    <row r="4" spans="1:8" ht="15" customHeight="1">
      <c r="A4" s="3"/>
      <c r="B4" s="3"/>
      <c r="C4" s="3"/>
      <c r="D4" s="3"/>
      <c r="E4" s="3"/>
      <c r="F4" s="3"/>
      <c r="G4" s="3"/>
      <c r="H4" s="3"/>
    </row>
    <row r="5" spans="1:8" ht="18" customHeight="1">
      <c r="A5" s="3"/>
      <c r="B5" s="3"/>
      <c r="C5" s="3"/>
      <c r="D5" s="3"/>
      <c r="E5" s="3"/>
      <c r="F5" s="3"/>
      <c r="G5" s="3"/>
      <c r="H5" s="3"/>
    </row>
    <row r="6" spans="1:8" ht="27.65" customHeight="1">
      <c r="A6" s="3"/>
      <c r="B6" s="11"/>
      <c r="C6" s="13" t="s">
        <v>72</v>
      </c>
      <c r="D6" s="41" t="s">
        <v>79</v>
      </c>
      <c r="E6" s="41" t="s">
        <v>1</v>
      </c>
      <c r="F6" s="41" t="s">
        <v>74</v>
      </c>
      <c r="G6" s="13"/>
      <c r="H6" s="3"/>
    </row>
    <row r="7" spans="1:8" ht="18" customHeight="1">
      <c r="A7" s="3"/>
      <c r="B7" s="11" t="s">
        <v>4</v>
      </c>
      <c r="C7" s="13" t="s">
        <v>73</v>
      </c>
      <c r="D7" s="13" t="s">
        <v>5</v>
      </c>
      <c r="E7" s="13" t="s">
        <v>7</v>
      </c>
      <c r="F7" s="13" t="s">
        <v>9</v>
      </c>
      <c r="G7" s="13"/>
      <c r="H7" s="3"/>
    </row>
    <row r="8" spans="1:8" ht="18" customHeight="1">
      <c r="A8" s="3"/>
      <c r="B8" s="27" t="s">
        <v>13</v>
      </c>
      <c r="C8" s="27"/>
      <c r="D8" s="27"/>
      <c r="E8" s="27">
        <v>50</v>
      </c>
      <c r="F8" s="27"/>
      <c r="G8" s="27"/>
      <c r="H8" s="3"/>
    </row>
    <row r="9" spans="1:8" ht="18" customHeight="1">
      <c r="A9" s="3"/>
      <c r="B9" s="11" t="s">
        <v>18</v>
      </c>
      <c r="C9" s="11"/>
      <c r="D9" s="11"/>
      <c r="E9" s="11">
        <v>100</v>
      </c>
      <c r="F9" s="11"/>
      <c r="G9" s="11"/>
      <c r="H9" s="3"/>
    </row>
    <row r="10" spans="1:8" ht="18" customHeight="1">
      <c r="A10" s="3"/>
      <c r="B10" s="11" t="s">
        <v>23</v>
      </c>
      <c r="C10" s="11"/>
      <c r="D10" s="11"/>
      <c r="E10" s="11">
        <v>200</v>
      </c>
      <c r="F10" s="11"/>
      <c r="G10" s="11"/>
      <c r="H10" s="3"/>
    </row>
    <row r="11" spans="1:8" ht="18" customHeight="1">
      <c r="A11" s="3"/>
      <c r="B11" s="11"/>
      <c r="C11" s="11"/>
      <c r="D11" s="11"/>
      <c r="E11" s="11"/>
      <c r="F11" s="11"/>
      <c r="G11" s="11"/>
      <c r="H11" s="3"/>
    </row>
    <row r="12" spans="1:8" ht="18" customHeight="1">
      <c r="A12" s="3"/>
      <c r="B12" s="3"/>
      <c r="C12" s="3"/>
      <c r="D12" s="3"/>
      <c r="E12" s="3"/>
      <c r="F12" s="3"/>
      <c r="G12" s="3"/>
      <c r="H12" s="3"/>
    </row>
    <row r="13" spans="1:8" ht="18" customHeight="1">
      <c r="A13" s="3"/>
      <c r="B13" s="3"/>
      <c r="C13" s="3"/>
      <c r="D13" s="3"/>
      <c r="E13" s="3"/>
      <c r="F13" s="3"/>
      <c r="G13" s="3"/>
      <c r="H13" s="3"/>
    </row>
    <row r="14" spans="1:8" ht="18" customHeight="1">
      <c r="A14" s="3"/>
      <c r="B14" s="3"/>
      <c r="C14" s="3"/>
      <c r="D14" s="3"/>
      <c r="E14" s="3"/>
      <c r="F14" s="3"/>
      <c r="G14" s="3"/>
      <c r="H14" s="3"/>
    </row>
    <row r="15" spans="1:8" ht="18" customHeight="1"/>
    <row r="16" spans="1:8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</sheetData>
  <phoneticPr fontId="3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showGridLines="0" workbookViewId="0">
      <selection activeCell="C14" sqref="C14"/>
    </sheetView>
  </sheetViews>
  <sheetFormatPr defaultColWidth="12.6328125" defaultRowHeight="15" customHeight="1"/>
  <cols>
    <col min="1" max="1" width="3" customWidth="1"/>
    <col min="2" max="2" width="18.08984375" customWidth="1"/>
    <col min="3" max="3" width="13.81640625" customWidth="1"/>
    <col min="4" max="4" width="17" customWidth="1"/>
    <col min="5" max="5" width="13.90625" customWidth="1"/>
    <col min="6" max="6" width="3.453125" customWidth="1"/>
    <col min="7" max="26" width="7.6328125" customWidth="1"/>
  </cols>
  <sheetData>
    <row r="1" spans="2:7" ht="18" customHeight="1"/>
    <row r="2" spans="2:7" ht="36" customHeight="1">
      <c r="B2" s="29" t="s">
        <v>12</v>
      </c>
      <c r="C2" s="30" t="s">
        <v>14</v>
      </c>
      <c r="D2" s="30" t="s">
        <v>15</v>
      </c>
      <c r="E2" s="30" t="s">
        <v>16</v>
      </c>
      <c r="F2" s="31"/>
    </row>
    <row r="3" spans="2:7" ht="18" customHeight="1">
      <c r="B3" s="29"/>
      <c r="C3" s="31" t="s">
        <v>10</v>
      </c>
      <c r="D3" s="31" t="s">
        <v>8</v>
      </c>
      <c r="E3" s="31" t="s">
        <v>19</v>
      </c>
      <c r="F3" s="31"/>
    </row>
    <row r="4" spans="2:7" ht="18" customHeight="1">
      <c r="B4" s="29" t="s">
        <v>21</v>
      </c>
      <c r="C4" s="29"/>
      <c r="D4" s="29">
        <v>1</v>
      </c>
      <c r="E4" s="29">
        <v>0.33539999999999998</v>
      </c>
      <c r="F4" s="29"/>
      <c r="G4" s="1">
        <f>C4*D4*E4</f>
        <v>0</v>
      </c>
    </row>
    <row r="5" spans="2:7" ht="18" customHeight="1">
      <c r="B5" s="29"/>
      <c r="C5" s="29"/>
      <c r="D5" s="29"/>
      <c r="E5" s="29"/>
      <c r="F5" s="29"/>
    </row>
    <row r="6" spans="2:7" ht="18" customHeight="1">
      <c r="B6" s="29"/>
      <c r="C6" s="29"/>
      <c r="D6" s="29"/>
      <c r="E6" s="29"/>
      <c r="F6" s="29"/>
    </row>
    <row r="7" spans="2:7" ht="18" customHeight="1">
      <c r="B7" s="29"/>
      <c r="C7" s="29"/>
      <c r="D7" s="29"/>
      <c r="E7" s="29"/>
      <c r="F7" s="29"/>
    </row>
    <row r="8" spans="2:7" ht="18" customHeight="1">
      <c r="B8" s="29"/>
      <c r="C8" s="29"/>
      <c r="D8" s="29"/>
      <c r="E8" s="29"/>
      <c r="F8" s="29"/>
    </row>
    <row r="9" spans="2:7" ht="18" customHeight="1">
      <c r="B9" s="29"/>
      <c r="C9" s="29"/>
      <c r="D9" s="29"/>
      <c r="E9" s="29"/>
      <c r="F9" s="29"/>
    </row>
    <row r="10" spans="2:7" ht="18" customHeight="1">
      <c r="B10" s="29"/>
      <c r="C10" s="29"/>
      <c r="D10" s="29"/>
      <c r="E10" s="29"/>
      <c r="F10" s="29"/>
    </row>
    <row r="11" spans="2:7" ht="18" customHeight="1">
      <c r="B11" s="29"/>
      <c r="C11" s="29"/>
      <c r="D11" s="29"/>
      <c r="E11" s="29"/>
      <c r="F11" s="29"/>
    </row>
    <row r="12" spans="2:7" ht="18" customHeight="1"/>
    <row r="13" spans="2:7" ht="18" customHeight="1"/>
    <row r="14" spans="2:7" ht="18" customHeight="1"/>
    <row r="15" spans="2:7" ht="18" customHeight="1"/>
    <row r="16" spans="2:7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honeticPr fontId="3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F1003"/>
  <sheetViews>
    <sheetView showGridLines="0" workbookViewId="0">
      <selection activeCell="B11" sqref="B11"/>
    </sheetView>
  </sheetViews>
  <sheetFormatPr defaultColWidth="12.6328125" defaultRowHeight="15" customHeight="1"/>
  <cols>
    <col min="1" max="1" width="3.36328125" customWidth="1"/>
    <col min="2" max="2" width="16.36328125" customWidth="1"/>
    <col min="3" max="3" width="26.36328125" customWidth="1"/>
    <col min="4" max="4" width="18.81640625" customWidth="1"/>
    <col min="5" max="5" width="34.6328125" customWidth="1"/>
    <col min="6" max="6" width="5.6328125" customWidth="1"/>
    <col min="7" max="26" width="7.6328125" customWidth="1"/>
  </cols>
  <sheetData>
    <row r="4" spans="2:6" ht="18" customHeight="1"/>
    <row r="5" spans="2:6" ht="32.4" customHeight="1">
      <c r="B5" s="29"/>
      <c r="C5" s="30" t="s">
        <v>20</v>
      </c>
      <c r="D5" s="30" t="s">
        <v>22</v>
      </c>
      <c r="E5" s="30" t="s">
        <v>24</v>
      </c>
      <c r="F5" s="31"/>
    </row>
    <row r="6" spans="2:6" ht="18" customHeight="1" thickBot="1">
      <c r="B6" s="33" t="s">
        <v>4</v>
      </c>
      <c r="C6" s="34" t="s">
        <v>8</v>
      </c>
      <c r="D6" s="34" t="s">
        <v>5</v>
      </c>
      <c r="E6" s="34" t="s">
        <v>25</v>
      </c>
      <c r="F6" s="34"/>
    </row>
    <row r="7" spans="2:6" ht="18" customHeight="1" thickTop="1">
      <c r="B7" s="32"/>
      <c r="C7" s="32"/>
      <c r="D7" s="32"/>
      <c r="E7" s="32"/>
      <c r="F7" s="32"/>
    </row>
    <row r="8" spans="2:6" ht="18" customHeight="1">
      <c r="B8" s="29"/>
      <c r="C8" s="29"/>
      <c r="D8" s="29"/>
      <c r="E8" s="29"/>
      <c r="F8" s="29"/>
    </row>
    <row r="9" spans="2:6" ht="18" customHeight="1">
      <c r="B9" s="29"/>
      <c r="C9" s="29"/>
      <c r="D9" s="29"/>
      <c r="E9" s="29"/>
      <c r="F9" s="29"/>
    </row>
    <row r="10" spans="2:6" ht="18" customHeight="1"/>
    <row r="11" spans="2:6" ht="18" customHeight="1"/>
    <row r="12" spans="2:6" ht="18" customHeight="1"/>
    <row r="13" spans="2:6" ht="18" customHeight="1"/>
    <row r="14" spans="2:6" ht="18" customHeight="1"/>
    <row r="15" spans="2:6" ht="18" customHeight="1"/>
    <row r="16" spans="2: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</sheetData>
  <phoneticPr fontId="3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grid-power</vt:lpstr>
      <vt:lpstr>onsite-power</vt:lpstr>
      <vt:lpstr>Sytem-cost</vt:lpstr>
      <vt:lpstr>option-offsite-power</vt:lpstr>
      <vt:lpstr>option-Fuel</vt:lpstr>
      <vt:lpstr>option-Wheeling</vt:lpstr>
      <vt:lpstr>WHR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CVS Kojima</dc:creator>
  <cp:lastModifiedBy>Song Tae-Hun</cp:lastModifiedBy>
  <dcterms:created xsi:type="dcterms:W3CDTF">2026-08-24T21:13:11Z</dcterms:created>
  <dcterms:modified xsi:type="dcterms:W3CDTF">2026-08-27T14:59:22Z</dcterms:modified>
</cp:coreProperties>
</file>