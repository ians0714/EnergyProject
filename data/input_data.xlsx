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file-a\analysis\"/>
    </mc:Choice>
  </mc:AlternateContent>
  <xr:revisionPtr revIDLastSave="0" documentId="8_{87A53F62-389F-4364-A990-03285769ABA3}" xr6:coauthVersionLast="47" xr6:coauthVersionMax="47" xr10:uidLastSave="{00000000-0000-0000-0000-000000000000}"/>
  <bookViews>
    <workbookView xWindow="2508" yWindow="600" windowWidth="18612" windowHeight="10500" xr2:uid="{00000000-000D-0000-FFFF-FFFF00000000}"/>
  </bookViews>
  <sheets>
    <sheet name="grid-power" sheetId="7" r:id="rId1"/>
    <sheet name="onsite-power" sheetId="2" r:id="rId2"/>
    <sheet name="Sytem-cost" sheetId="8" r:id="rId3"/>
    <sheet name="option-offsite-power" sheetId="5" r:id="rId4"/>
    <sheet name="option-Fuel" sheetId="1" r:id="rId5"/>
    <sheet name="option-Wheeling" sheetId="3" r:id="rId6"/>
    <sheet name="WHR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9n0Oso6SBdtVs36XjXNfbF05QNC/Tdp/hILuvLZvgc="/>
    </ext>
  </extLst>
</workbook>
</file>

<file path=xl/calcChain.xml><?xml version="1.0" encoding="utf-8"?>
<calcChain xmlns="http://schemas.openxmlformats.org/spreadsheetml/2006/main">
  <c r="H30" i="7" l="1"/>
  <c r="G30" i="7"/>
  <c r="H29" i="7"/>
  <c r="G29" i="7"/>
  <c r="H28" i="7"/>
  <c r="G28" i="7"/>
  <c r="H27" i="7"/>
  <c r="G27" i="7"/>
  <c r="H26" i="7"/>
  <c r="G26" i="7"/>
  <c r="H25" i="7"/>
  <c r="G25" i="7"/>
  <c r="H24" i="7"/>
  <c r="G24" i="7"/>
  <c r="H23" i="7"/>
  <c r="G23" i="7"/>
  <c r="H22" i="7"/>
  <c r="G22" i="7"/>
  <c r="H21" i="7"/>
  <c r="G21" i="7"/>
  <c r="H20" i="7"/>
  <c r="G20" i="7"/>
  <c r="H19" i="7"/>
  <c r="G19" i="7"/>
  <c r="H18" i="7"/>
  <c r="G18" i="7"/>
  <c r="H17" i="7"/>
  <c r="G17" i="7"/>
  <c r="H16" i="7"/>
  <c r="G16" i="7"/>
  <c r="H15" i="7"/>
  <c r="G15" i="7"/>
  <c r="H14" i="7"/>
  <c r="G14" i="7"/>
  <c r="H13" i="7"/>
  <c r="G13" i="7"/>
  <c r="H12" i="7"/>
  <c r="G12" i="7"/>
  <c r="H11" i="7"/>
  <c r="G11" i="7"/>
  <c r="H10" i="7"/>
  <c r="G10" i="7"/>
  <c r="H9" i="7"/>
  <c r="G9" i="7"/>
  <c r="H8" i="7"/>
  <c r="G8" i="7"/>
  <c r="J19" i="2"/>
  <c r="L12" i="2"/>
  <c r="J12" i="2"/>
  <c r="K12" i="2" s="1"/>
  <c r="E12" i="2"/>
  <c r="H7" i="7"/>
  <c r="C32" i="7"/>
  <c r="C8" i="8" s="1"/>
  <c r="G7" i="7"/>
  <c r="C12" i="8"/>
  <c r="C36" i="7"/>
  <c r="C37" i="7" s="1"/>
  <c r="C17" i="2"/>
  <c r="J15" i="2"/>
  <c r="L15" i="2" s="1"/>
  <c r="J14" i="2"/>
  <c r="L14" i="2" s="1"/>
  <c r="J13" i="2"/>
  <c r="K13" i="2" s="1"/>
  <c r="J11" i="2"/>
  <c r="L11" i="2" s="1"/>
  <c r="J9" i="2"/>
  <c r="L9" i="2" s="1"/>
  <c r="E11" i="2"/>
  <c r="E10" i="2"/>
  <c r="J10" i="2" s="1"/>
  <c r="K10" i="2" s="1"/>
  <c r="E9" i="2"/>
  <c r="E8" i="2"/>
  <c r="J8" i="2" s="1"/>
  <c r="E7" i="2"/>
  <c r="J7" i="2" s="1"/>
  <c r="L7" i="2" s="1"/>
  <c r="H35" i="7"/>
  <c r="G35" i="7"/>
  <c r="I7" i="5"/>
  <c r="J7" i="5" s="1"/>
  <c r="G4" i="3"/>
  <c r="G32" i="7" l="1"/>
  <c r="D8" i="8" s="1"/>
  <c r="H32" i="7"/>
  <c r="E8" i="8" s="1"/>
  <c r="H8" i="8" s="1"/>
  <c r="J8" i="8" s="1"/>
  <c r="K8" i="8" s="1"/>
  <c r="G8" i="8"/>
  <c r="L8" i="2"/>
  <c r="L17" i="2" s="1"/>
  <c r="K8" i="2"/>
  <c r="K9" i="2"/>
  <c r="J17" i="2"/>
  <c r="K14" i="2"/>
  <c r="K15" i="2"/>
  <c r="K11" i="2"/>
  <c r="K7" i="2"/>
  <c r="L10" i="2"/>
  <c r="L13" i="2"/>
  <c r="C7" i="8" l="1"/>
  <c r="C10" i="8" s="1"/>
  <c r="C13" i="8" s="1"/>
  <c r="J20" i="2"/>
  <c r="E7" i="8"/>
  <c r="L18" i="2"/>
  <c r="K17" i="2"/>
  <c r="D7" i="8" l="1"/>
  <c r="G7" i="8" s="1"/>
  <c r="K18" i="2"/>
  <c r="E10" i="8"/>
  <c r="E19" i="8" s="1"/>
  <c r="H7" i="8"/>
  <c r="J7" i="8" s="1"/>
  <c r="D10" i="8" l="1"/>
  <c r="E21" i="8" s="1"/>
  <c r="K7" i="8"/>
</calcChain>
</file>

<file path=xl/sharedStrings.xml><?xml version="1.0" encoding="utf-8"?>
<sst xmlns="http://schemas.openxmlformats.org/spreadsheetml/2006/main" count="194" uniqueCount="129">
  <si>
    <t xml:space="preserve">Installed capacity </t>
  </si>
  <si>
    <t>Transportation
(from Production site to power plant site)</t>
  </si>
  <si>
    <t>Capacity Factor</t>
  </si>
  <si>
    <t>LOCE</t>
  </si>
  <si>
    <t>Unit</t>
  </si>
  <si>
    <t>Euro/GJ</t>
  </si>
  <si>
    <t>MW</t>
  </si>
  <si>
    <t>km</t>
  </si>
  <si>
    <t>%</t>
  </si>
  <si>
    <t xml:space="preserve">Euro/(km*GJ) </t>
  </si>
  <si>
    <t>Euro/MWh</t>
  </si>
  <si>
    <t>t-CO2/MWh</t>
  </si>
  <si>
    <t>Time Resolution</t>
  </si>
  <si>
    <t>Bio-CH4 Plant-1</t>
  </si>
  <si>
    <t>Wheeling Charge</t>
  </si>
  <si>
    <t>Curtailment rate</t>
  </si>
  <si>
    <t>Emission Factor
(Carbon Density)</t>
  </si>
  <si>
    <t>Coal Power</t>
  </si>
  <si>
    <t>Bio-CH4 Plant-2</t>
  </si>
  <si>
    <t xml:space="preserve"> t-CO₂eq/MWh</t>
  </si>
  <si>
    <t>Waste Heat Recovery (WHR) Rate</t>
  </si>
  <si>
    <t>Annual</t>
  </si>
  <si>
    <t>WHU Selling Price</t>
  </si>
  <si>
    <t>Bio-CH4 Plant-3</t>
  </si>
  <si>
    <t>CO₂ emissions avoided through waste heat utilization</t>
  </si>
  <si>
    <t>t-CO2/GJ</t>
  </si>
  <si>
    <t>Nuclera</t>
  </si>
  <si>
    <t>NG Power (w/wo Bio-CH4)</t>
  </si>
  <si>
    <t>Utility Scale PV</t>
  </si>
  <si>
    <t xml:space="preserve">Wind Offshore </t>
  </si>
  <si>
    <t>Biomass power (BTG)</t>
  </si>
  <si>
    <t>Power_Name</t>
    <phoneticPr fontId="3"/>
  </si>
  <si>
    <t>capacity_factor</t>
    <phoneticPr fontId="3"/>
  </si>
  <si>
    <t>installed_capacity_mw</t>
    <phoneticPr fontId="3"/>
  </si>
  <si>
    <t>Emission Factor</t>
    <phoneticPr fontId="3"/>
  </si>
  <si>
    <t>loce_euro_mwh</t>
    <phoneticPr fontId="3"/>
  </si>
  <si>
    <t>co2_t_per_mwh</t>
    <phoneticPr fontId="3"/>
  </si>
  <si>
    <t>Power source</t>
    <phoneticPr fontId="3"/>
  </si>
  <si>
    <t>&lt;Inputs&gt;</t>
    <phoneticPr fontId="3"/>
  </si>
  <si>
    <t>&lt;Outputs&gt;</t>
    <phoneticPr fontId="3"/>
  </si>
  <si>
    <t>generation_mwh</t>
    <phoneticPr fontId="3"/>
  </si>
  <si>
    <t>a</t>
    <phoneticPr fontId="3"/>
  </si>
  <si>
    <t>b</t>
    <phoneticPr fontId="3"/>
  </si>
  <si>
    <t>c</t>
    <phoneticPr fontId="3"/>
  </si>
  <si>
    <t>d</t>
    <phoneticPr fontId="3"/>
  </si>
  <si>
    <t>Hours</t>
    <phoneticPr fontId="3"/>
  </si>
  <si>
    <t>hours_hr</t>
    <phoneticPr fontId="3"/>
  </si>
  <si>
    <t>Hour</t>
    <phoneticPr fontId="3"/>
  </si>
  <si>
    <t>e</t>
    <phoneticPr fontId="3"/>
  </si>
  <si>
    <t>Power Generation</t>
    <phoneticPr fontId="3"/>
  </si>
  <si>
    <t>kWh</t>
    <phoneticPr fontId="3"/>
  </si>
  <si>
    <t>Power Cost</t>
    <phoneticPr fontId="3"/>
  </si>
  <si>
    <t>power_cost_euro</t>
    <phoneticPr fontId="3"/>
  </si>
  <si>
    <t>Euro</t>
    <phoneticPr fontId="3"/>
  </si>
  <si>
    <t>f=(a*b*c)</t>
    <phoneticPr fontId="3"/>
  </si>
  <si>
    <t>f*d</t>
    <phoneticPr fontId="3"/>
  </si>
  <si>
    <t>power_co2_t</t>
    <phoneticPr fontId="3"/>
  </si>
  <si>
    <t>Power CO2</t>
    <phoneticPr fontId="3"/>
  </si>
  <si>
    <t>CO2</t>
    <phoneticPr fontId="3"/>
  </si>
  <si>
    <t>t-CO2</t>
    <phoneticPr fontId="3"/>
  </si>
  <si>
    <t>f*e</t>
    <phoneticPr fontId="3"/>
  </si>
  <si>
    <t>grid_electricity_price_ero_mwh</t>
    <phoneticPr fontId="3"/>
  </si>
  <si>
    <t>Grid  Price</t>
    <phoneticPr fontId="3"/>
  </si>
  <si>
    <t>Grid Amount</t>
    <phoneticPr fontId="3"/>
  </si>
  <si>
    <t>MWh</t>
    <phoneticPr fontId="3"/>
  </si>
  <si>
    <t>grid_amount_kwh</t>
    <phoneticPr fontId="3"/>
  </si>
  <si>
    <t>a*b</t>
    <phoneticPr fontId="3"/>
  </si>
  <si>
    <t>a*c</t>
    <phoneticPr fontId="3"/>
  </si>
  <si>
    <t>Time Resolution</t>
    <phoneticPr fontId="3"/>
  </si>
  <si>
    <t>Year_2025</t>
    <phoneticPr fontId="3"/>
  </si>
  <si>
    <t>[Grid]</t>
    <phoneticPr fontId="3"/>
  </si>
  <si>
    <t>[Off-site]</t>
    <phoneticPr fontId="3"/>
  </si>
  <si>
    <t>Amount</t>
    <phoneticPr fontId="3"/>
  </si>
  <si>
    <t>GJ</t>
    <phoneticPr fontId="3"/>
  </si>
  <si>
    <t>Unit Transportation Cost</t>
    <phoneticPr fontId="3"/>
  </si>
  <si>
    <t>Gas turebine</t>
    <phoneticPr fontId="3"/>
  </si>
  <si>
    <t>Coal</t>
    <phoneticPr fontId="3"/>
  </si>
  <si>
    <t>Nuclear</t>
    <phoneticPr fontId="3"/>
  </si>
  <si>
    <t>Biomass</t>
    <phoneticPr fontId="3"/>
  </si>
  <si>
    <t>Cost (Ex-Works)</t>
    <phoneticPr fontId="3"/>
  </si>
  <si>
    <t>Additionl Cost</t>
    <phoneticPr fontId="3"/>
  </si>
  <si>
    <t>additionl cost_ero_mwh</t>
    <phoneticPr fontId="3"/>
  </si>
  <si>
    <t>f</t>
    <phoneticPr fontId="3"/>
  </si>
  <si>
    <t>g=(a*b*c)</t>
    <phoneticPr fontId="3"/>
  </si>
  <si>
    <t>f*(d+e)</t>
    <phoneticPr fontId="3"/>
  </si>
  <si>
    <t>g*</t>
    <phoneticPr fontId="3"/>
  </si>
  <si>
    <t>Total</t>
    <phoneticPr fontId="3"/>
  </si>
  <si>
    <t>MW</t>
    <phoneticPr fontId="3"/>
  </si>
  <si>
    <t>Ref</t>
    <phoneticPr fontId="3"/>
  </si>
  <si>
    <t>constraints =100M</t>
    <phoneticPr fontId="3"/>
  </si>
  <si>
    <t>carbon_price_eueo_co2_t</t>
    <phoneticPr fontId="3"/>
  </si>
  <si>
    <t>Carbon Price</t>
    <phoneticPr fontId="3"/>
  </si>
  <si>
    <t>Euro/t-CO2</t>
    <phoneticPr fontId="3"/>
  </si>
  <si>
    <t>CO2 offset cost</t>
    <phoneticPr fontId="3"/>
  </si>
  <si>
    <t>Grid Power</t>
    <phoneticPr fontId="3"/>
  </si>
  <si>
    <t>Onsit Power</t>
    <phoneticPr fontId="3"/>
  </si>
  <si>
    <t>Power Amount</t>
    <phoneticPr fontId="3"/>
  </si>
  <si>
    <t>System Total Cost</t>
    <phoneticPr fontId="3"/>
  </si>
  <si>
    <t>Objective: Minimization</t>
    <phoneticPr fontId="3"/>
  </si>
  <si>
    <t>Euro/MWh</t>
    <phoneticPr fontId="3"/>
  </si>
  <si>
    <t>t-CO2/MWh</t>
    <phoneticPr fontId="3"/>
  </si>
  <si>
    <t>Wind</t>
    <phoneticPr fontId="3"/>
  </si>
  <si>
    <t>CO2 Cost</t>
    <phoneticPr fontId="3"/>
  </si>
  <si>
    <t>Euro/MWh (w CO2)</t>
    <phoneticPr fontId="3"/>
  </si>
  <si>
    <t>BioCH4-Gas Turebine</t>
    <phoneticPr fontId="3"/>
  </si>
  <si>
    <t>Spring-00</t>
    <phoneticPr fontId="3"/>
  </si>
  <si>
    <t>Spring-04</t>
    <phoneticPr fontId="3"/>
  </si>
  <si>
    <t>Spring-08</t>
    <phoneticPr fontId="3"/>
  </si>
  <si>
    <t>Spring-12</t>
    <phoneticPr fontId="3"/>
  </si>
  <si>
    <t>Spring-16</t>
    <phoneticPr fontId="3"/>
  </si>
  <si>
    <t>Spring-20</t>
    <phoneticPr fontId="3"/>
  </si>
  <si>
    <t>Summer-00</t>
    <phoneticPr fontId="3"/>
  </si>
  <si>
    <t>Summer-04</t>
    <phoneticPr fontId="3"/>
  </si>
  <si>
    <t>Summer-08</t>
    <phoneticPr fontId="3"/>
  </si>
  <si>
    <t>Summer-12</t>
    <phoneticPr fontId="3"/>
  </si>
  <si>
    <t>Summer-16</t>
    <phoneticPr fontId="3"/>
  </si>
  <si>
    <t>Summer-20</t>
    <phoneticPr fontId="3"/>
  </si>
  <si>
    <t>Fall-00</t>
    <phoneticPr fontId="3"/>
  </si>
  <si>
    <t>Fall-04</t>
    <phoneticPr fontId="3"/>
  </si>
  <si>
    <t>Fall-08</t>
    <phoneticPr fontId="3"/>
  </si>
  <si>
    <t>Fall-16</t>
    <phoneticPr fontId="3"/>
  </si>
  <si>
    <t>Fall-12</t>
    <phoneticPr fontId="3"/>
  </si>
  <si>
    <t>Fall-20</t>
    <phoneticPr fontId="3"/>
  </si>
  <si>
    <t>Winter-00</t>
    <phoneticPr fontId="3"/>
  </si>
  <si>
    <t>Winter-04</t>
    <phoneticPr fontId="3"/>
  </si>
  <si>
    <t>Winter-08</t>
    <phoneticPr fontId="3"/>
  </si>
  <si>
    <t>Winter-12</t>
    <phoneticPr fontId="3"/>
  </si>
  <si>
    <t>Winter-16</t>
    <phoneticPr fontId="3"/>
  </si>
  <si>
    <t>Winter-20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</si>
</sst>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1" formatCode="#,##0.000;[Red]\-#,##0.000"/>
    <numFmt numFmtId="182" formatCode="0.000"/>
  </numFmts>
  <fonts count="9" x14ac:knownFonts="1">
    <font>
      <sz val="11"/>
      <color theme="1"/>
      <name val="Aptos Narrow"/>
      <scheme val="minor"/>
    </font>
    <font>
      <sz val="11"/>
      <color theme="1"/>
      <name val="游ゴシック"/>
      <family val="3"/>
      <charset val="128"/>
    </font>
    <font>
      <sz val="11"/>
      <color theme="1"/>
      <name val="Aptos Narrow"/>
      <scheme val="minor"/>
    </font>
    <font>
      <sz val="6"/>
      <name val="Aptos Narrow"/>
      <family val="3"/>
      <charset val="128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u/>
      <sz val="11"/>
      <color theme="1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38" fontId="2" fillId="0" borderId="0" applyFont="0" applyFill="0" applyBorder="0" applyAlignment="0" applyProtection="0">
      <alignment vertical="center"/>
    </xf>
  </cellStyleXfs>
  <cellXfs count="72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38" fontId="5" fillId="0" borderId="0" xfId="1" applyFont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38" fontId="5" fillId="0" borderId="5" xfId="1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5" fillId="0" borderId="17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5" fillId="0" borderId="19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1" fillId="0" borderId="18" xfId="0" applyFont="1" applyBorder="1" applyAlignment="1">
      <alignment horizontal="center" vertical="center"/>
    </xf>
    <xf numFmtId="9" fontId="5" fillId="0" borderId="2" xfId="0" applyNumberFormat="1" applyFont="1" applyBorder="1" applyAlignment="1">
      <alignment vertical="center"/>
    </xf>
    <xf numFmtId="9" fontId="5" fillId="0" borderId="4" xfId="0" applyNumberFormat="1" applyFont="1" applyBorder="1" applyAlignment="1">
      <alignment vertical="center"/>
    </xf>
    <xf numFmtId="2" fontId="5" fillId="0" borderId="10" xfId="0" applyNumberFormat="1" applyFont="1" applyBorder="1" applyAlignment="1">
      <alignment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/>
    </xf>
    <xf numFmtId="2" fontId="5" fillId="0" borderId="23" xfId="0" applyNumberFormat="1" applyFont="1" applyBorder="1" applyAlignment="1">
      <alignment vertical="center"/>
    </xf>
    <xf numFmtId="2" fontId="5" fillId="0" borderId="22" xfId="0" applyNumberFormat="1" applyFont="1" applyBorder="1" applyAlignment="1">
      <alignment vertical="center"/>
    </xf>
    <xf numFmtId="38" fontId="5" fillId="0" borderId="0" xfId="0" applyNumberFormat="1" applyFont="1" applyAlignment="1">
      <alignment vertical="center"/>
    </xf>
    <xf numFmtId="0" fontId="5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38" fontId="7" fillId="0" borderId="0" xfId="0" applyNumberFormat="1" applyFont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38" fontId="7" fillId="0" borderId="0" xfId="1" applyFont="1" applyAlignment="1">
      <alignment vertical="center"/>
    </xf>
    <xf numFmtId="38" fontId="5" fillId="0" borderId="5" xfId="0" applyNumberFormat="1" applyFont="1" applyBorder="1" applyAlignment="1">
      <alignment vertical="center"/>
    </xf>
    <xf numFmtId="0" fontId="5" fillId="0" borderId="0" xfId="0" applyFont="1" applyBorder="1" applyAlignment="1">
      <alignment vertical="center"/>
    </xf>
    <xf numFmtId="38" fontId="5" fillId="0" borderId="27" xfId="0" applyNumberFormat="1" applyFont="1" applyBorder="1" applyAlignment="1">
      <alignment vertical="center"/>
    </xf>
    <xf numFmtId="181" fontId="5" fillId="0" borderId="0" xfId="1" applyNumberFormat="1" applyFont="1" applyAlignment="1">
      <alignment vertical="center"/>
    </xf>
    <xf numFmtId="0" fontId="8" fillId="0" borderId="2" xfId="0" applyFont="1" applyBorder="1" applyAlignment="1">
      <alignment vertical="center"/>
    </xf>
    <xf numFmtId="2" fontId="8" fillId="0" borderId="4" xfId="0" applyNumberFormat="1" applyFont="1" applyBorder="1" applyAlignment="1">
      <alignment vertical="center"/>
    </xf>
    <xf numFmtId="0" fontId="8" fillId="0" borderId="4" xfId="0" applyFont="1" applyBorder="1" applyAlignment="1">
      <alignment vertical="center"/>
    </xf>
    <xf numFmtId="38" fontId="5" fillId="2" borderId="5" xfId="1" applyFont="1" applyFill="1" applyBorder="1" applyAlignment="1">
      <alignment vertical="center"/>
    </xf>
    <xf numFmtId="38" fontId="5" fillId="0" borderId="0" xfId="1" applyNumberFormat="1" applyFont="1" applyAlignment="1">
      <alignment vertical="center"/>
    </xf>
    <xf numFmtId="38" fontId="0" fillId="2" borderId="5" xfId="1" applyFont="1" applyFill="1" applyBorder="1" applyAlignment="1">
      <alignment vertical="center"/>
    </xf>
    <xf numFmtId="182" fontId="5" fillId="0" borderId="10" xfId="0" applyNumberFormat="1" applyFont="1" applyBorder="1" applyAlignmen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33D8C-85A1-415D-A021-C3439AEC4633}">
  <dimension ref="B1:H1017"/>
  <sheetViews>
    <sheetView showGridLines="0" tabSelected="1" topLeftCell="B17" workbookViewId="0">
      <selection activeCell="E24" sqref="E24"/>
    </sheetView>
  </sheetViews>
  <sheetFormatPr defaultColWidth="12.6640625" defaultRowHeight="15" customHeight="1" x14ac:dyDescent="0.3"/>
  <cols>
    <col min="1" max="1" width="7.6640625" customWidth="1"/>
    <col min="2" max="2" width="19.6640625" customWidth="1"/>
    <col min="3" max="3" width="19.109375" customWidth="1"/>
    <col min="4" max="4" width="35.33203125" customWidth="1"/>
    <col min="5" max="5" width="22.5546875" customWidth="1"/>
    <col min="6" max="6" width="7.6640625" customWidth="1"/>
    <col min="7" max="7" width="19.109375" customWidth="1"/>
    <col min="8" max="8" width="15.5546875" customWidth="1"/>
    <col min="9" max="23" width="7.6640625" customWidth="1"/>
  </cols>
  <sheetData>
    <row r="1" spans="2:8" ht="18" customHeight="1" x14ac:dyDescent="0.3">
      <c r="B1" s="3" t="s">
        <v>70</v>
      </c>
      <c r="C1" s="3"/>
      <c r="D1" s="3"/>
      <c r="E1" s="3"/>
      <c r="F1" s="3"/>
      <c r="H1" s="3"/>
    </row>
    <row r="2" spans="2:8" ht="18" customHeight="1" x14ac:dyDescent="0.3">
      <c r="B2" s="3" t="s">
        <v>38</v>
      </c>
      <c r="C2" s="3"/>
      <c r="D2" s="3"/>
      <c r="E2" s="3"/>
      <c r="F2" s="3"/>
      <c r="G2" s="3" t="s">
        <v>39</v>
      </c>
      <c r="H2" s="3"/>
    </row>
    <row r="3" spans="2:8" ht="18" customHeight="1" x14ac:dyDescent="0.3">
      <c r="B3" s="3"/>
      <c r="C3" s="3" t="s">
        <v>65</v>
      </c>
      <c r="D3" s="4" t="s">
        <v>61</v>
      </c>
      <c r="E3" s="4" t="s">
        <v>36</v>
      </c>
      <c r="F3" s="3"/>
      <c r="G3" s="4" t="s">
        <v>52</v>
      </c>
      <c r="H3" s="4" t="s">
        <v>56</v>
      </c>
    </row>
    <row r="4" spans="2:8" ht="18" customHeight="1" x14ac:dyDescent="0.3">
      <c r="B4" s="3"/>
      <c r="C4" s="28" t="s">
        <v>41</v>
      </c>
      <c r="D4" s="5" t="s">
        <v>42</v>
      </c>
      <c r="E4" s="5" t="s">
        <v>43</v>
      </c>
      <c r="F4" s="3"/>
      <c r="G4" s="5" t="s">
        <v>66</v>
      </c>
      <c r="H4" s="5" t="s">
        <v>67</v>
      </c>
    </row>
    <row r="5" spans="2:8" ht="18" customHeight="1" x14ac:dyDescent="0.3">
      <c r="B5" s="49" t="s">
        <v>68</v>
      </c>
      <c r="C5" s="52" t="s">
        <v>63</v>
      </c>
      <c r="D5" s="50" t="s">
        <v>62</v>
      </c>
      <c r="E5" s="51" t="s">
        <v>34</v>
      </c>
      <c r="F5" s="3"/>
      <c r="G5" s="13" t="s">
        <v>51</v>
      </c>
      <c r="H5" s="13" t="s">
        <v>57</v>
      </c>
    </row>
    <row r="6" spans="2:8" ht="18" customHeight="1" x14ac:dyDescent="0.3">
      <c r="B6" s="11"/>
      <c r="C6" s="53" t="s">
        <v>64</v>
      </c>
      <c r="D6" s="13" t="s">
        <v>10</v>
      </c>
      <c r="E6" s="13" t="s">
        <v>11</v>
      </c>
      <c r="F6" s="3"/>
      <c r="G6" s="13" t="s">
        <v>53</v>
      </c>
      <c r="H6" s="13" t="s">
        <v>59</v>
      </c>
    </row>
    <row r="7" spans="2:8" ht="18" customHeight="1" x14ac:dyDescent="0.3">
      <c r="B7" s="11" t="s">
        <v>105</v>
      </c>
      <c r="C7" s="68">
        <v>11250</v>
      </c>
      <c r="D7" s="9">
        <v>89</v>
      </c>
      <c r="E7" s="71">
        <v>0.39</v>
      </c>
      <c r="F7" s="3"/>
      <c r="G7" s="12">
        <f>+D7*C7</f>
        <v>1001250</v>
      </c>
      <c r="H7" s="12">
        <f>+E7*C7</f>
        <v>4387.5</v>
      </c>
    </row>
    <row r="8" spans="2:8" ht="18" customHeight="1" x14ac:dyDescent="0.3">
      <c r="B8" s="11" t="s">
        <v>106</v>
      </c>
      <c r="C8" s="70">
        <v>11250</v>
      </c>
      <c r="D8" s="9">
        <v>89</v>
      </c>
      <c r="E8" s="71">
        <v>0.39500000000000002</v>
      </c>
      <c r="F8" s="3"/>
      <c r="G8" s="12">
        <f t="shared" ref="G8:G30" si="0">+D8*C8</f>
        <v>1001250</v>
      </c>
      <c r="H8" s="12">
        <f t="shared" ref="H8:H30" si="1">+E8*C8</f>
        <v>4443.75</v>
      </c>
    </row>
    <row r="9" spans="2:8" ht="18" customHeight="1" x14ac:dyDescent="0.3">
      <c r="B9" s="11" t="s">
        <v>107</v>
      </c>
      <c r="C9" s="70">
        <v>11250</v>
      </c>
      <c r="D9" s="9">
        <v>89</v>
      </c>
      <c r="E9" s="71">
        <v>0.3</v>
      </c>
      <c r="F9" s="3"/>
      <c r="G9" s="12">
        <f t="shared" si="0"/>
        <v>1001250</v>
      </c>
      <c r="H9" s="12">
        <f t="shared" si="1"/>
        <v>3375</v>
      </c>
    </row>
    <row r="10" spans="2:8" ht="18" customHeight="1" x14ac:dyDescent="0.3">
      <c r="B10" s="11" t="s">
        <v>108</v>
      </c>
      <c r="C10" s="70">
        <v>11250</v>
      </c>
      <c r="D10" s="9">
        <v>89</v>
      </c>
      <c r="E10" s="71">
        <v>0.20499999999999999</v>
      </c>
      <c r="F10" s="3"/>
      <c r="G10" s="12">
        <f t="shared" si="0"/>
        <v>1001250</v>
      </c>
      <c r="H10" s="12">
        <f t="shared" si="1"/>
        <v>2306.25</v>
      </c>
    </row>
    <row r="11" spans="2:8" ht="18" customHeight="1" x14ac:dyDescent="0.3">
      <c r="B11" s="11" t="s">
        <v>109</v>
      </c>
      <c r="C11" s="70">
        <v>11250</v>
      </c>
      <c r="D11" s="9">
        <v>89</v>
      </c>
      <c r="E11" s="71">
        <v>0.32</v>
      </c>
      <c r="F11" s="3"/>
      <c r="G11" s="12">
        <f t="shared" si="0"/>
        <v>1001250</v>
      </c>
      <c r="H11" s="12">
        <f t="shared" si="1"/>
        <v>3600</v>
      </c>
    </row>
    <row r="12" spans="2:8" ht="18" customHeight="1" x14ac:dyDescent="0.3">
      <c r="B12" s="11" t="s">
        <v>110</v>
      </c>
      <c r="C12" s="70">
        <v>11250</v>
      </c>
      <c r="D12" s="9">
        <v>89</v>
      </c>
      <c r="E12" s="71">
        <v>0.38</v>
      </c>
      <c r="G12" s="12">
        <f t="shared" si="0"/>
        <v>1001250</v>
      </c>
      <c r="H12" s="12">
        <f t="shared" si="1"/>
        <v>4275</v>
      </c>
    </row>
    <row r="13" spans="2:8" ht="18" customHeight="1" x14ac:dyDescent="0.3">
      <c r="B13" s="11" t="s">
        <v>111</v>
      </c>
      <c r="C13" s="70">
        <v>11250</v>
      </c>
      <c r="D13" s="9">
        <v>89</v>
      </c>
      <c r="E13" s="71">
        <v>0.3</v>
      </c>
      <c r="G13" s="12">
        <f t="shared" si="0"/>
        <v>1001250</v>
      </c>
      <c r="H13" s="12">
        <f t="shared" si="1"/>
        <v>3375</v>
      </c>
    </row>
    <row r="14" spans="2:8" ht="18" customHeight="1" x14ac:dyDescent="0.3">
      <c r="B14" s="11" t="s">
        <v>112</v>
      </c>
      <c r="C14" s="70">
        <v>11250</v>
      </c>
      <c r="D14" s="9">
        <v>89</v>
      </c>
      <c r="E14" s="71">
        <v>0.28999999999999998</v>
      </c>
      <c r="G14" s="12">
        <f t="shared" si="0"/>
        <v>1001250</v>
      </c>
      <c r="H14" s="12">
        <f t="shared" si="1"/>
        <v>3262.5</v>
      </c>
    </row>
    <row r="15" spans="2:8" ht="18" customHeight="1" x14ac:dyDescent="0.3">
      <c r="B15" s="11" t="s">
        <v>113</v>
      </c>
      <c r="C15" s="70">
        <v>11250</v>
      </c>
      <c r="D15" s="9">
        <v>89</v>
      </c>
      <c r="E15" s="71">
        <v>0.22</v>
      </c>
      <c r="G15" s="12">
        <f t="shared" si="0"/>
        <v>1001250</v>
      </c>
      <c r="H15" s="12">
        <f t="shared" si="1"/>
        <v>2475</v>
      </c>
    </row>
    <row r="16" spans="2:8" ht="18" customHeight="1" x14ac:dyDescent="0.3">
      <c r="B16" s="11" t="s">
        <v>114</v>
      </c>
      <c r="C16" s="70">
        <v>11250</v>
      </c>
      <c r="D16" s="9">
        <v>89</v>
      </c>
      <c r="E16" s="71">
        <v>0.16</v>
      </c>
      <c r="G16" s="12">
        <f t="shared" si="0"/>
        <v>1001250</v>
      </c>
      <c r="H16" s="12">
        <f t="shared" si="1"/>
        <v>1800</v>
      </c>
    </row>
    <row r="17" spans="2:8" ht="18" customHeight="1" x14ac:dyDescent="0.3">
      <c r="B17" s="11" t="s">
        <v>115</v>
      </c>
      <c r="C17" s="70">
        <v>11250</v>
      </c>
      <c r="D17" s="9">
        <v>89</v>
      </c>
      <c r="E17" s="71">
        <v>0.25</v>
      </c>
      <c r="G17" s="12">
        <f t="shared" si="0"/>
        <v>1001250</v>
      </c>
      <c r="H17" s="12">
        <f t="shared" si="1"/>
        <v>2812.5</v>
      </c>
    </row>
    <row r="18" spans="2:8" ht="18" customHeight="1" x14ac:dyDescent="0.3">
      <c r="B18" s="11" t="s">
        <v>116</v>
      </c>
      <c r="C18" s="70">
        <v>11250</v>
      </c>
      <c r="D18" s="9">
        <v>89</v>
      </c>
      <c r="E18" s="71">
        <v>0.376</v>
      </c>
      <c r="G18" s="12">
        <f t="shared" si="0"/>
        <v>1001250</v>
      </c>
      <c r="H18" s="12">
        <f t="shared" si="1"/>
        <v>4230</v>
      </c>
    </row>
    <row r="19" spans="2:8" ht="18" customHeight="1" x14ac:dyDescent="0.3">
      <c r="B19" s="11" t="s">
        <v>117</v>
      </c>
      <c r="C19" s="70">
        <v>11250</v>
      </c>
      <c r="D19" s="9">
        <v>89</v>
      </c>
      <c r="E19" s="71">
        <v>0.32</v>
      </c>
      <c r="G19" s="12">
        <f t="shared" si="0"/>
        <v>1001250</v>
      </c>
      <c r="H19" s="12">
        <f t="shared" si="1"/>
        <v>3600</v>
      </c>
    </row>
    <row r="20" spans="2:8" ht="18" customHeight="1" x14ac:dyDescent="0.3">
      <c r="B20" s="11" t="s">
        <v>118</v>
      </c>
      <c r="C20" s="70">
        <v>11250</v>
      </c>
      <c r="D20" s="9">
        <v>89</v>
      </c>
      <c r="E20" s="71">
        <v>0.31</v>
      </c>
      <c r="G20" s="12">
        <f t="shared" si="0"/>
        <v>1001250</v>
      </c>
      <c r="H20" s="12">
        <f t="shared" si="1"/>
        <v>3487.5</v>
      </c>
    </row>
    <row r="21" spans="2:8" ht="18" customHeight="1" x14ac:dyDescent="0.3">
      <c r="B21" s="11" t="s">
        <v>119</v>
      </c>
      <c r="C21" s="70">
        <v>11250</v>
      </c>
      <c r="D21" s="9">
        <v>89</v>
      </c>
      <c r="E21" s="71">
        <v>0.33</v>
      </c>
      <c r="G21" s="12">
        <f t="shared" si="0"/>
        <v>1001250</v>
      </c>
      <c r="H21" s="12">
        <f t="shared" si="1"/>
        <v>3712.5</v>
      </c>
    </row>
    <row r="22" spans="2:8" ht="18" customHeight="1" x14ac:dyDescent="0.3">
      <c r="B22" s="11" t="s">
        <v>121</v>
      </c>
      <c r="C22" s="70">
        <v>11250</v>
      </c>
      <c r="D22" s="9">
        <v>89</v>
      </c>
      <c r="E22" s="71">
        <v>0.26</v>
      </c>
      <c r="G22" s="12">
        <f t="shared" si="0"/>
        <v>1001250</v>
      </c>
      <c r="H22" s="12">
        <f t="shared" si="1"/>
        <v>2925</v>
      </c>
    </row>
    <row r="23" spans="2:8" ht="18" customHeight="1" x14ac:dyDescent="0.3">
      <c r="B23" s="11" t="s">
        <v>120</v>
      </c>
      <c r="C23" s="70">
        <v>11250</v>
      </c>
      <c r="D23" s="9">
        <v>89</v>
      </c>
      <c r="E23" s="71">
        <v>0.37</v>
      </c>
      <c r="G23" s="12">
        <f t="shared" si="0"/>
        <v>1001250</v>
      </c>
      <c r="H23" s="12">
        <f t="shared" si="1"/>
        <v>4162.5</v>
      </c>
    </row>
    <row r="24" spans="2:8" ht="18" customHeight="1" x14ac:dyDescent="0.3">
      <c r="B24" s="11" t="s">
        <v>122</v>
      </c>
      <c r="C24" s="70">
        <v>11250</v>
      </c>
      <c r="D24" s="9">
        <v>89</v>
      </c>
      <c r="E24" s="71">
        <v>0.34</v>
      </c>
      <c r="G24" s="12">
        <f t="shared" si="0"/>
        <v>1001250</v>
      </c>
      <c r="H24" s="12">
        <f t="shared" si="1"/>
        <v>3825.0000000000005</v>
      </c>
    </row>
    <row r="25" spans="2:8" ht="18" customHeight="1" x14ac:dyDescent="0.3">
      <c r="B25" s="11" t="s">
        <v>123</v>
      </c>
      <c r="C25" s="70">
        <v>11250</v>
      </c>
      <c r="D25" s="9">
        <v>89</v>
      </c>
      <c r="E25" s="71">
        <v>0.37</v>
      </c>
      <c r="G25" s="12">
        <f t="shared" si="0"/>
        <v>1001250</v>
      </c>
      <c r="H25" s="12">
        <f t="shared" si="1"/>
        <v>4162.5</v>
      </c>
    </row>
    <row r="26" spans="2:8" ht="18" customHeight="1" x14ac:dyDescent="0.3">
      <c r="B26" s="11" t="s">
        <v>124</v>
      </c>
      <c r="C26" s="70">
        <v>11250</v>
      </c>
      <c r="D26" s="9">
        <v>89</v>
      </c>
      <c r="E26" s="71">
        <v>0.36</v>
      </c>
      <c r="G26" s="12">
        <f t="shared" si="0"/>
        <v>1001250</v>
      </c>
      <c r="H26" s="12">
        <f t="shared" si="1"/>
        <v>4050</v>
      </c>
    </row>
    <row r="27" spans="2:8" ht="18" customHeight="1" x14ac:dyDescent="0.3">
      <c r="B27" s="11" t="s">
        <v>125</v>
      </c>
      <c r="C27" s="70">
        <v>11250</v>
      </c>
      <c r="D27" s="9">
        <v>89</v>
      </c>
      <c r="E27" s="71">
        <v>0.38</v>
      </c>
      <c r="G27" s="12">
        <f t="shared" si="0"/>
        <v>1001250</v>
      </c>
      <c r="H27" s="12">
        <f t="shared" si="1"/>
        <v>4275</v>
      </c>
    </row>
    <row r="28" spans="2:8" ht="18" customHeight="1" x14ac:dyDescent="0.3">
      <c r="B28" s="11" t="s">
        <v>126</v>
      </c>
      <c r="C28" s="70">
        <v>11250</v>
      </c>
      <c r="D28" s="9">
        <v>89</v>
      </c>
      <c r="E28" s="71">
        <v>0.35499999999999998</v>
      </c>
      <c r="G28" s="12">
        <f t="shared" si="0"/>
        <v>1001250</v>
      </c>
      <c r="H28" s="12">
        <f t="shared" si="1"/>
        <v>3993.75</v>
      </c>
    </row>
    <row r="29" spans="2:8" ht="18" customHeight="1" x14ac:dyDescent="0.3">
      <c r="B29" s="11" t="s">
        <v>127</v>
      </c>
      <c r="C29" s="70">
        <v>11250</v>
      </c>
      <c r="D29" s="9">
        <v>89</v>
      </c>
      <c r="E29" s="71">
        <v>0.4</v>
      </c>
      <c r="G29" s="12">
        <f t="shared" si="0"/>
        <v>1001250</v>
      </c>
      <c r="H29" s="12">
        <f t="shared" si="1"/>
        <v>4500</v>
      </c>
    </row>
    <row r="30" spans="2:8" ht="18" customHeight="1" x14ac:dyDescent="0.3">
      <c r="B30" s="11" t="s">
        <v>128</v>
      </c>
      <c r="C30" s="70">
        <v>11250</v>
      </c>
      <c r="D30" s="9">
        <v>89</v>
      </c>
      <c r="E30" s="71">
        <v>0.39</v>
      </c>
      <c r="G30" s="12">
        <f t="shared" si="0"/>
        <v>1001250</v>
      </c>
      <c r="H30" s="12">
        <f t="shared" si="1"/>
        <v>4387.5</v>
      </c>
    </row>
    <row r="31" spans="2:8" ht="18" customHeight="1" x14ac:dyDescent="0.3">
      <c r="B31" s="3"/>
      <c r="C31" s="3"/>
      <c r="D31" s="3"/>
      <c r="E31" s="3"/>
      <c r="F31" s="3"/>
      <c r="G31" s="3"/>
      <c r="H31" s="3"/>
    </row>
    <row r="32" spans="2:8" ht="18" customHeight="1" x14ac:dyDescent="0.3">
      <c r="B32" s="47" t="s">
        <v>86</v>
      </c>
      <c r="C32" s="48">
        <f>SUM(C7:C30)</f>
        <v>270000</v>
      </c>
      <c r="D32" s="47"/>
      <c r="E32" s="47"/>
      <c r="F32" s="47"/>
      <c r="G32" s="60">
        <f>SUM(G7:G30)</f>
        <v>24030000</v>
      </c>
      <c r="H32" s="60">
        <f>SUM(H7:H30)</f>
        <v>87423.75</v>
      </c>
    </row>
    <row r="33" spans="2:8" ht="18" customHeight="1" x14ac:dyDescent="0.3">
      <c r="B33" s="3"/>
      <c r="C33" s="3"/>
      <c r="D33" s="3"/>
      <c r="E33" s="3"/>
      <c r="F33" s="3"/>
      <c r="G33" s="3"/>
      <c r="H33" s="3"/>
    </row>
    <row r="34" spans="2:8" ht="18" customHeight="1" x14ac:dyDescent="0.3">
      <c r="B34" s="47"/>
      <c r="C34" s="48"/>
      <c r="D34" s="47"/>
      <c r="E34" s="47"/>
      <c r="F34" s="47"/>
      <c r="G34" s="48"/>
      <c r="H34" s="48"/>
    </row>
    <row r="35" spans="2:8" ht="18" customHeight="1" x14ac:dyDescent="0.3">
      <c r="B35" s="11" t="s">
        <v>69</v>
      </c>
      <c r="C35" s="12">
        <v>270000</v>
      </c>
      <c r="D35" s="11">
        <v>89</v>
      </c>
      <c r="E35" s="11">
        <v>0.33500000000000002</v>
      </c>
      <c r="F35" s="3"/>
      <c r="G35" s="12">
        <f>+D35*C35</f>
        <v>24030000</v>
      </c>
      <c r="H35" s="12">
        <f>+E35*C35</f>
        <v>90450</v>
      </c>
    </row>
    <row r="36" spans="2:8" ht="18" customHeight="1" x14ac:dyDescent="0.3">
      <c r="B36" s="3"/>
      <c r="C36" s="3">
        <f>24*365</f>
        <v>8760</v>
      </c>
      <c r="D36" s="3"/>
      <c r="E36" s="3"/>
      <c r="F36" s="3"/>
      <c r="G36" s="3"/>
      <c r="H36" s="3"/>
    </row>
    <row r="37" spans="2:8" ht="18" customHeight="1" x14ac:dyDescent="0.3">
      <c r="B37" s="46" t="s">
        <v>88</v>
      </c>
      <c r="C37" s="8">
        <f>+C35/C36</f>
        <v>30.82191780821918</v>
      </c>
      <c r="D37" s="3" t="s">
        <v>87</v>
      </c>
      <c r="E37" s="3"/>
      <c r="F37" s="3"/>
      <c r="G37" s="3"/>
      <c r="H37" s="3"/>
    </row>
    <row r="38" spans="2:8" ht="18" customHeight="1" x14ac:dyDescent="0.3">
      <c r="B38" s="3"/>
      <c r="C38" s="3"/>
      <c r="D38" s="3"/>
      <c r="E38" s="3"/>
      <c r="F38" s="3"/>
      <c r="G38" s="3"/>
      <c r="H38" s="3"/>
    </row>
    <row r="39" spans="2:8" ht="18" customHeight="1" x14ac:dyDescent="0.3"/>
    <row r="40" spans="2:8" ht="18" customHeight="1" x14ac:dyDescent="0.3"/>
    <row r="41" spans="2:8" ht="18" customHeight="1" x14ac:dyDescent="0.3"/>
    <row r="42" spans="2:8" ht="18" customHeight="1" x14ac:dyDescent="0.3"/>
    <row r="43" spans="2:8" ht="18" customHeight="1" x14ac:dyDescent="0.3"/>
    <row r="44" spans="2:8" ht="18" customHeight="1" x14ac:dyDescent="0.3"/>
    <row r="45" spans="2:8" ht="18" customHeight="1" x14ac:dyDescent="0.3"/>
    <row r="46" spans="2:8" ht="18" customHeight="1" x14ac:dyDescent="0.3"/>
    <row r="47" spans="2:8" ht="18" customHeight="1" x14ac:dyDescent="0.3"/>
    <row r="48" spans="2: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  <row r="549" ht="18" customHeight="1" x14ac:dyDescent="0.3"/>
    <row r="550" ht="18" customHeight="1" x14ac:dyDescent="0.3"/>
    <row r="551" ht="18" customHeight="1" x14ac:dyDescent="0.3"/>
    <row r="552" ht="18" customHeight="1" x14ac:dyDescent="0.3"/>
    <row r="553" ht="18" customHeight="1" x14ac:dyDescent="0.3"/>
    <row r="554" ht="18" customHeight="1" x14ac:dyDescent="0.3"/>
    <row r="555" ht="18" customHeight="1" x14ac:dyDescent="0.3"/>
    <row r="556" ht="18" customHeight="1" x14ac:dyDescent="0.3"/>
    <row r="557" ht="18" customHeight="1" x14ac:dyDescent="0.3"/>
    <row r="558" ht="18" customHeight="1" x14ac:dyDescent="0.3"/>
    <row r="559" ht="18" customHeight="1" x14ac:dyDescent="0.3"/>
    <row r="560" ht="18" customHeight="1" x14ac:dyDescent="0.3"/>
    <row r="561" ht="18" customHeight="1" x14ac:dyDescent="0.3"/>
    <row r="562" ht="18" customHeight="1" x14ac:dyDescent="0.3"/>
    <row r="563" ht="18" customHeight="1" x14ac:dyDescent="0.3"/>
    <row r="564" ht="18" customHeight="1" x14ac:dyDescent="0.3"/>
    <row r="565" ht="18" customHeight="1" x14ac:dyDescent="0.3"/>
    <row r="566" ht="18" customHeight="1" x14ac:dyDescent="0.3"/>
    <row r="567" ht="18" customHeight="1" x14ac:dyDescent="0.3"/>
    <row r="568" ht="18" customHeight="1" x14ac:dyDescent="0.3"/>
    <row r="569" ht="18" customHeight="1" x14ac:dyDescent="0.3"/>
    <row r="570" ht="18" customHeight="1" x14ac:dyDescent="0.3"/>
    <row r="571" ht="18" customHeight="1" x14ac:dyDescent="0.3"/>
    <row r="572" ht="18" customHeight="1" x14ac:dyDescent="0.3"/>
    <row r="573" ht="18" customHeight="1" x14ac:dyDescent="0.3"/>
    <row r="574" ht="18" customHeight="1" x14ac:dyDescent="0.3"/>
    <row r="575" ht="18" customHeight="1" x14ac:dyDescent="0.3"/>
    <row r="576" ht="18" customHeight="1" x14ac:dyDescent="0.3"/>
    <row r="577" ht="18" customHeight="1" x14ac:dyDescent="0.3"/>
    <row r="578" ht="18" customHeight="1" x14ac:dyDescent="0.3"/>
    <row r="579" ht="18" customHeight="1" x14ac:dyDescent="0.3"/>
    <row r="580" ht="18" customHeight="1" x14ac:dyDescent="0.3"/>
    <row r="581" ht="18" customHeight="1" x14ac:dyDescent="0.3"/>
    <row r="582" ht="18" customHeight="1" x14ac:dyDescent="0.3"/>
    <row r="583" ht="18" customHeight="1" x14ac:dyDescent="0.3"/>
    <row r="584" ht="18" customHeight="1" x14ac:dyDescent="0.3"/>
    <row r="585" ht="18" customHeight="1" x14ac:dyDescent="0.3"/>
    <row r="586" ht="18" customHeight="1" x14ac:dyDescent="0.3"/>
    <row r="587" ht="18" customHeight="1" x14ac:dyDescent="0.3"/>
    <row r="588" ht="18" customHeight="1" x14ac:dyDescent="0.3"/>
    <row r="589" ht="18" customHeight="1" x14ac:dyDescent="0.3"/>
    <row r="590" ht="18" customHeight="1" x14ac:dyDescent="0.3"/>
    <row r="591" ht="18" customHeight="1" x14ac:dyDescent="0.3"/>
    <row r="592" ht="18" customHeight="1" x14ac:dyDescent="0.3"/>
    <row r="593" ht="18" customHeight="1" x14ac:dyDescent="0.3"/>
    <row r="594" ht="18" customHeight="1" x14ac:dyDescent="0.3"/>
    <row r="595" ht="18" customHeight="1" x14ac:dyDescent="0.3"/>
    <row r="596" ht="18" customHeight="1" x14ac:dyDescent="0.3"/>
    <row r="597" ht="18" customHeight="1" x14ac:dyDescent="0.3"/>
    <row r="598" ht="18" customHeight="1" x14ac:dyDescent="0.3"/>
    <row r="599" ht="18" customHeight="1" x14ac:dyDescent="0.3"/>
    <row r="600" ht="18" customHeight="1" x14ac:dyDescent="0.3"/>
    <row r="601" ht="18" customHeight="1" x14ac:dyDescent="0.3"/>
    <row r="602" ht="18" customHeight="1" x14ac:dyDescent="0.3"/>
    <row r="603" ht="18" customHeight="1" x14ac:dyDescent="0.3"/>
    <row r="604" ht="18" customHeight="1" x14ac:dyDescent="0.3"/>
    <row r="605" ht="18" customHeight="1" x14ac:dyDescent="0.3"/>
    <row r="606" ht="18" customHeight="1" x14ac:dyDescent="0.3"/>
    <row r="607" ht="18" customHeight="1" x14ac:dyDescent="0.3"/>
    <row r="608" ht="18" customHeight="1" x14ac:dyDescent="0.3"/>
    <row r="609" ht="18" customHeight="1" x14ac:dyDescent="0.3"/>
    <row r="610" ht="18" customHeight="1" x14ac:dyDescent="0.3"/>
    <row r="611" ht="18" customHeight="1" x14ac:dyDescent="0.3"/>
    <row r="612" ht="18" customHeight="1" x14ac:dyDescent="0.3"/>
    <row r="613" ht="18" customHeight="1" x14ac:dyDescent="0.3"/>
    <row r="614" ht="18" customHeight="1" x14ac:dyDescent="0.3"/>
    <row r="615" ht="18" customHeight="1" x14ac:dyDescent="0.3"/>
    <row r="616" ht="18" customHeight="1" x14ac:dyDescent="0.3"/>
    <row r="617" ht="18" customHeight="1" x14ac:dyDescent="0.3"/>
    <row r="618" ht="18" customHeight="1" x14ac:dyDescent="0.3"/>
    <row r="619" ht="18" customHeight="1" x14ac:dyDescent="0.3"/>
    <row r="620" ht="18" customHeight="1" x14ac:dyDescent="0.3"/>
    <row r="621" ht="18" customHeight="1" x14ac:dyDescent="0.3"/>
    <row r="622" ht="18" customHeight="1" x14ac:dyDescent="0.3"/>
    <row r="623" ht="18" customHeight="1" x14ac:dyDescent="0.3"/>
    <row r="624" ht="18" customHeight="1" x14ac:dyDescent="0.3"/>
    <row r="625" ht="18" customHeight="1" x14ac:dyDescent="0.3"/>
    <row r="626" ht="18" customHeight="1" x14ac:dyDescent="0.3"/>
    <row r="627" ht="18" customHeight="1" x14ac:dyDescent="0.3"/>
    <row r="628" ht="18" customHeight="1" x14ac:dyDescent="0.3"/>
    <row r="629" ht="18" customHeight="1" x14ac:dyDescent="0.3"/>
    <row r="630" ht="18" customHeight="1" x14ac:dyDescent="0.3"/>
    <row r="631" ht="18" customHeight="1" x14ac:dyDescent="0.3"/>
    <row r="632" ht="18" customHeight="1" x14ac:dyDescent="0.3"/>
    <row r="633" ht="18" customHeight="1" x14ac:dyDescent="0.3"/>
    <row r="634" ht="18" customHeight="1" x14ac:dyDescent="0.3"/>
    <row r="635" ht="18" customHeight="1" x14ac:dyDescent="0.3"/>
    <row r="636" ht="18" customHeight="1" x14ac:dyDescent="0.3"/>
    <row r="637" ht="18" customHeight="1" x14ac:dyDescent="0.3"/>
    <row r="638" ht="18" customHeight="1" x14ac:dyDescent="0.3"/>
    <row r="639" ht="18" customHeight="1" x14ac:dyDescent="0.3"/>
    <row r="640" ht="18" customHeight="1" x14ac:dyDescent="0.3"/>
    <row r="641" ht="18" customHeight="1" x14ac:dyDescent="0.3"/>
    <row r="642" ht="18" customHeight="1" x14ac:dyDescent="0.3"/>
    <row r="643" ht="18" customHeight="1" x14ac:dyDescent="0.3"/>
    <row r="644" ht="18" customHeight="1" x14ac:dyDescent="0.3"/>
    <row r="645" ht="18" customHeight="1" x14ac:dyDescent="0.3"/>
    <row r="646" ht="18" customHeight="1" x14ac:dyDescent="0.3"/>
    <row r="647" ht="18" customHeight="1" x14ac:dyDescent="0.3"/>
    <row r="648" ht="18" customHeight="1" x14ac:dyDescent="0.3"/>
    <row r="649" ht="18" customHeight="1" x14ac:dyDescent="0.3"/>
    <row r="650" ht="18" customHeight="1" x14ac:dyDescent="0.3"/>
    <row r="651" ht="18" customHeight="1" x14ac:dyDescent="0.3"/>
    <row r="652" ht="18" customHeight="1" x14ac:dyDescent="0.3"/>
    <row r="653" ht="18" customHeight="1" x14ac:dyDescent="0.3"/>
    <row r="654" ht="18" customHeight="1" x14ac:dyDescent="0.3"/>
    <row r="655" ht="18" customHeight="1" x14ac:dyDescent="0.3"/>
    <row r="656" ht="18" customHeight="1" x14ac:dyDescent="0.3"/>
    <row r="657" ht="18" customHeight="1" x14ac:dyDescent="0.3"/>
    <row r="658" ht="18" customHeight="1" x14ac:dyDescent="0.3"/>
    <row r="659" ht="18" customHeight="1" x14ac:dyDescent="0.3"/>
    <row r="660" ht="18" customHeight="1" x14ac:dyDescent="0.3"/>
    <row r="661" ht="18" customHeight="1" x14ac:dyDescent="0.3"/>
    <row r="662" ht="18" customHeight="1" x14ac:dyDescent="0.3"/>
    <row r="663" ht="18" customHeight="1" x14ac:dyDescent="0.3"/>
    <row r="664" ht="18" customHeight="1" x14ac:dyDescent="0.3"/>
    <row r="665" ht="18" customHeight="1" x14ac:dyDescent="0.3"/>
    <row r="666" ht="18" customHeight="1" x14ac:dyDescent="0.3"/>
    <row r="667" ht="18" customHeight="1" x14ac:dyDescent="0.3"/>
    <row r="668" ht="18" customHeight="1" x14ac:dyDescent="0.3"/>
    <row r="669" ht="18" customHeight="1" x14ac:dyDescent="0.3"/>
    <row r="670" ht="18" customHeight="1" x14ac:dyDescent="0.3"/>
    <row r="671" ht="18" customHeight="1" x14ac:dyDescent="0.3"/>
    <row r="672" ht="18" customHeight="1" x14ac:dyDescent="0.3"/>
    <row r="673" ht="18" customHeight="1" x14ac:dyDescent="0.3"/>
    <row r="674" ht="18" customHeight="1" x14ac:dyDescent="0.3"/>
    <row r="675" ht="18" customHeight="1" x14ac:dyDescent="0.3"/>
    <row r="676" ht="18" customHeight="1" x14ac:dyDescent="0.3"/>
    <row r="677" ht="18" customHeight="1" x14ac:dyDescent="0.3"/>
    <row r="678" ht="18" customHeight="1" x14ac:dyDescent="0.3"/>
    <row r="679" ht="18" customHeight="1" x14ac:dyDescent="0.3"/>
    <row r="680" ht="18" customHeight="1" x14ac:dyDescent="0.3"/>
    <row r="681" ht="18" customHeight="1" x14ac:dyDescent="0.3"/>
    <row r="682" ht="18" customHeight="1" x14ac:dyDescent="0.3"/>
    <row r="683" ht="18" customHeight="1" x14ac:dyDescent="0.3"/>
    <row r="684" ht="18" customHeight="1" x14ac:dyDescent="0.3"/>
    <row r="685" ht="18" customHeight="1" x14ac:dyDescent="0.3"/>
    <row r="686" ht="18" customHeight="1" x14ac:dyDescent="0.3"/>
    <row r="687" ht="18" customHeight="1" x14ac:dyDescent="0.3"/>
    <row r="688" ht="18" customHeight="1" x14ac:dyDescent="0.3"/>
    <row r="689" ht="18" customHeight="1" x14ac:dyDescent="0.3"/>
    <row r="690" ht="18" customHeight="1" x14ac:dyDescent="0.3"/>
    <row r="691" ht="18" customHeight="1" x14ac:dyDescent="0.3"/>
    <row r="692" ht="18" customHeight="1" x14ac:dyDescent="0.3"/>
    <row r="693" ht="18" customHeight="1" x14ac:dyDescent="0.3"/>
    <row r="694" ht="18" customHeight="1" x14ac:dyDescent="0.3"/>
    <row r="695" ht="18" customHeight="1" x14ac:dyDescent="0.3"/>
    <row r="696" ht="18" customHeight="1" x14ac:dyDescent="0.3"/>
    <row r="697" ht="18" customHeight="1" x14ac:dyDescent="0.3"/>
    <row r="698" ht="18" customHeight="1" x14ac:dyDescent="0.3"/>
    <row r="699" ht="18" customHeight="1" x14ac:dyDescent="0.3"/>
    <row r="700" ht="18" customHeight="1" x14ac:dyDescent="0.3"/>
    <row r="701" ht="18" customHeight="1" x14ac:dyDescent="0.3"/>
    <row r="702" ht="18" customHeight="1" x14ac:dyDescent="0.3"/>
    <row r="703" ht="18" customHeight="1" x14ac:dyDescent="0.3"/>
    <row r="704" ht="18" customHeight="1" x14ac:dyDescent="0.3"/>
    <row r="705" ht="18" customHeight="1" x14ac:dyDescent="0.3"/>
    <row r="706" ht="18" customHeight="1" x14ac:dyDescent="0.3"/>
    <row r="707" ht="18" customHeight="1" x14ac:dyDescent="0.3"/>
    <row r="708" ht="18" customHeight="1" x14ac:dyDescent="0.3"/>
    <row r="709" ht="18" customHeight="1" x14ac:dyDescent="0.3"/>
    <row r="710" ht="18" customHeight="1" x14ac:dyDescent="0.3"/>
    <row r="711" ht="18" customHeight="1" x14ac:dyDescent="0.3"/>
    <row r="712" ht="18" customHeight="1" x14ac:dyDescent="0.3"/>
    <row r="713" ht="18" customHeight="1" x14ac:dyDescent="0.3"/>
    <row r="714" ht="18" customHeight="1" x14ac:dyDescent="0.3"/>
    <row r="715" ht="18" customHeight="1" x14ac:dyDescent="0.3"/>
    <row r="716" ht="18" customHeight="1" x14ac:dyDescent="0.3"/>
    <row r="717" ht="18" customHeight="1" x14ac:dyDescent="0.3"/>
    <row r="718" ht="18" customHeight="1" x14ac:dyDescent="0.3"/>
    <row r="719" ht="18" customHeight="1" x14ac:dyDescent="0.3"/>
    <row r="720" ht="18" customHeight="1" x14ac:dyDescent="0.3"/>
    <row r="721" ht="18" customHeight="1" x14ac:dyDescent="0.3"/>
    <row r="722" ht="18" customHeight="1" x14ac:dyDescent="0.3"/>
    <row r="723" ht="18" customHeight="1" x14ac:dyDescent="0.3"/>
    <row r="724" ht="18" customHeight="1" x14ac:dyDescent="0.3"/>
    <row r="725" ht="18" customHeight="1" x14ac:dyDescent="0.3"/>
    <row r="726" ht="18" customHeight="1" x14ac:dyDescent="0.3"/>
    <row r="727" ht="18" customHeight="1" x14ac:dyDescent="0.3"/>
    <row r="728" ht="18" customHeight="1" x14ac:dyDescent="0.3"/>
    <row r="729" ht="18" customHeight="1" x14ac:dyDescent="0.3"/>
    <row r="730" ht="18" customHeight="1" x14ac:dyDescent="0.3"/>
    <row r="731" ht="18" customHeight="1" x14ac:dyDescent="0.3"/>
    <row r="732" ht="18" customHeight="1" x14ac:dyDescent="0.3"/>
    <row r="733" ht="18" customHeight="1" x14ac:dyDescent="0.3"/>
    <row r="734" ht="18" customHeight="1" x14ac:dyDescent="0.3"/>
    <row r="735" ht="18" customHeight="1" x14ac:dyDescent="0.3"/>
    <row r="736" ht="18" customHeight="1" x14ac:dyDescent="0.3"/>
    <row r="737" ht="18" customHeight="1" x14ac:dyDescent="0.3"/>
    <row r="738" ht="18" customHeight="1" x14ac:dyDescent="0.3"/>
    <row r="739" ht="18" customHeight="1" x14ac:dyDescent="0.3"/>
    <row r="740" ht="18" customHeight="1" x14ac:dyDescent="0.3"/>
    <row r="741" ht="18" customHeight="1" x14ac:dyDescent="0.3"/>
    <row r="742" ht="18" customHeight="1" x14ac:dyDescent="0.3"/>
    <row r="743" ht="18" customHeight="1" x14ac:dyDescent="0.3"/>
    <row r="744" ht="18" customHeight="1" x14ac:dyDescent="0.3"/>
    <row r="745" ht="18" customHeight="1" x14ac:dyDescent="0.3"/>
    <row r="746" ht="18" customHeight="1" x14ac:dyDescent="0.3"/>
    <row r="747" ht="18" customHeight="1" x14ac:dyDescent="0.3"/>
    <row r="748" ht="18" customHeight="1" x14ac:dyDescent="0.3"/>
    <row r="749" ht="18" customHeight="1" x14ac:dyDescent="0.3"/>
    <row r="750" ht="18" customHeight="1" x14ac:dyDescent="0.3"/>
    <row r="751" ht="18" customHeight="1" x14ac:dyDescent="0.3"/>
    <row r="752" ht="18" customHeight="1" x14ac:dyDescent="0.3"/>
    <row r="753" ht="18" customHeight="1" x14ac:dyDescent="0.3"/>
    <row r="754" ht="18" customHeight="1" x14ac:dyDescent="0.3"/>
    <row r="755" ht="18" customHeight="1" x14ac:dyDescent="0.3"/>
    <row r="756" ht="18" customHeight="1" x14ac:dyDescent="0.3"/>
    <row r="757" ht="18" customHeight="1" x14ac:dyDescent="0.3"/>
    <row r="758" ht="18" customHeight="1" x14ac:dyDescent="0.3"/>
    <row r="759" ht="18" customHeight="1" x14ac:dyDescent="0.3"/>
    <row r="760" ht="18" customHeight="1" x14ac:dyDescent="0.3"/>
    <row r="761" ht="18" customHeight="1" x14ac:dyDescent="0.3"/>
    <row r="762" ht="18" customHeight="1" x14ac:dyDescent="0.3"/>
    <row r="763" ht="18" customHeight="1" x14ac:dyDescent="0.3"/>
    <row r="764" ht="18" customHeight="1" x14ac:dyDescent="0.3"/>
    <row r="765" ht="18" customHeight="1" x14ac:dyDescent="0.3"/>
    <row r="766" ht="18" customHeight="1" x14ac:dyDescent="0.3"/>
    <row r="767" ht="18" customHeight="1" x14ac:dyDescent="0.3"/>
    <row r="768" ht="18" customHeight="1" x14ac:dyDescent="0.3"/>
    <row r="769" ht="18" customHeight="1" x14ac:dyDescent="0.3"/>
    <row r="770" ht="18" customHeight="1" x14ac:dyDescent="0.3"/>
    <row r="771" ht="18" customHeight="1" x14ac:dyDescent="0.3"/>
    <row r="772" ht="18" customHeight="1" x14ac:dyDescent="0.3"/>
    <row r="773" ht="18" customHeight="1" x14ac:dyDescent="0.3"/>
    <row r="774" ht="18" customHeight="1" x14ac:dyDescent="0.3"/>
    <row r="775" ht="18" customHeight="1" x14ac:dyDescent="0.3"/>
    <row r="776" ht="18" customHeight="1" x14ac:dyDescent="0.3"/>
    <row r="777" ht="18" customHeight="1" x14ac:dyDescent="0.3"/>
    <row r="778" ht="18" customHeight="1" x14ac:dyDescent="0.3"/>
    <row r="779" ht="18" customHeight="1" x14ac:dyDescent="0.3"/>
    <row r="780" ht="18" customHeight="1" x14ac:dyDescent="0.3"/>
    <row r="781" ht="18" customHeight="1" x14ac:dyDescent="0.3"/>
    <row r="782" ht="18" customHeight="1" x14ac:dyDescent="0.3"/>
    <row r="783" ht="18" customHeight="1" x14ac:dyDescent="0.3"/>
    <row r="784" ht="18" customHeight="1" x14ac:dyDescent="0.3"/>
    <row r="785" ht="18" customHeight="1" x14ac:dyDescent="0.3"/>
    <row r="786" ht="18" customHeight="1" x14ac:dyDescent="0.3"/>
    <row r="787" ht="18" customHeight="1" x14ac:dyDescent="0.3"/>
    <row r="788" ht="18" customHeight="1" x14ac:dyDescent="0.3"/>
    <row r="789" ht="18" customHeight="1" x14ac:dyDescent="0.3"/>
    <row r="790" ht="18" customHeight="1" x14ac:dyDescent="0.3"/>
    <row r="791" ht="18" customHeight="1" x14ac:dyDescent="0.3"/>
    <row r="792" ht="18" customHeight="1" x14ac:dyDescent="0.3"/>
    <row r="793" ht="18" customHeight="1" x14ac:dyDescent="0.3"/>
    <row r="794" ht="18" customHeight="1" x14ac:dyDescent="0.3"/>
    <row r="795" ht="18" customHeight="1" x14ac:dyDescent="0.3"/>
    <row r="796" ht="18" customHeight="1" x14ac:dyDescent="0.3"/>
    <row r="797" ht="18" customHeight="1" x14ac:dyDescent="0.3"/>
    <row r="798" ht="18" customHeight="1" x14ac:dyDescent="0.3"/>
    <row r="799" ht="18" customHeight="1" x14ac:dyDescent="0.3"/>
    <row r="800" ht="18" customHeight="1" x14ac:dyDescent="0.3"/>
    <row r="801" ht="18" customHeight="1" x14ac:dyDescent="0.3"/>
    <row r="802" ht="18" customHeight="1" x14ac:dyDescent="0.3"/>
    <row r="803" ht="18" customHeight="1" x14ac:dyDescent="0.3"/>
    <row r="804" ht="18" customHeight="1" x14ac:dyDescent="0.3"/>
    <row r="805" ht="18" customHeight="1" x14ac:dyDescent="0.3"/>
    <row r="806" ht="18" customHeight="1" x14ac:dyDescent="0.3"/>
    <row r="807" ht="18" customHeight="1" x14ac:dyDescent="0.3"/>
    <row r="808" ht="18" customHeight="1" x14ac:dyDescent="0.3"/>
    <row r="809" ht="18" customHeight="1" x14ac:dyDescent="0.3"/>
    <row r="810" ht="18" customHeight="1" x14ac:dyDescent="0.3"/>
    <row r="811" ht="18" customHeight="1" x14ac:dyDescent="0.3"/>
    <row r="812" ht="18" customHeight="1" x14ac:dyDescent="0.3"/>
    <row r="813" ht="18" customHeight="1" x14ac:dyDescent="0.3"/>
    <row r="814" ht="18" customHeight="1" x14ac:dyDescent="0.3"/>
    <row r="815" ht="18" customHeight="1" x14ac:dyDescent="0.3"/>
    <row r="816" ht="18" customHeight="1" x14ac:dyDescent="0.3"/>
    <row r="817" ht="18" customHeight="1" x14ac:dyDescent="0.3"/>
    <row r="818" ht="18" customHeight="1" x14ac:dyDescent="0.3"/>
    <row r="819" ht="18" customHeight="1" x14ac:dyDescent="0.3"/>
    <row r="820" ht="18" customHeight="1" x14ac:dyDescent="0.3"/>
    <row r="821" ht="18" customHeight="1" x14ac:dyDescent="0.3"/>
    <row r="822" ht="18" customHeight="1" x14ac:dyDescent="0.3"/>
    <row r="823" ht="18" customHeight="1" x14ac:dyDescent="0.3"/>
    <row r="824" ht="18" customHeight="1" x14ac:dyDescent="0.3"/>
    <row r="825" ht="18" customHeight="1" x14ac:dyDescent="0.3"/>
    <row r="826" ht="18" customHeight="1" x14ac:dyDescent="0.3"/>
    <row r="827" ht="18" customHeight="1" x14ac:dyDescent="0.3"/>
    <row r="828" ht="18" customHeight="1" x14ac:dyDescent="0.3"/>
    <row r="829" ht="18" customHeight="1" x14ac:dyDescent="0.3"/>
    <row r="830" ht="18" customHeight="1" x14ac:dyDescent="0.3"/>
    <row r="831" ht="18" customHeight="1" x14ac:dyDescent="0.3"/>
    <row r="832" ht="18" customHeight="1" x14ac:dyDescent="0.3"/>
    <row r="833" ht="18" customHeight="1" x14ac:dyDescent="0.3"/>
    <row r="834" ht="18" customHeight="1" x14ac:dyDescent="0.3"/>
    <row r="835" ht="18" customHeight="1" x14ac:dyDescent="0.3"/>
    <row r="836" ht="18" customHeight="1" x14ac:dyDescent="0.3"/>
    <row r="837" ht="18" customHeight="1" x14ac:dyDescent="0.3"/>
    <row r="838" ht="18" customHeight="1" x14ac:dyDescent="0.3"/>
    <row r="839" ht="18" customHeight="1" x14ac:dyDescent="0.3"/>
    <row r="840" ht="18" customHeight="1" x14ac:dyDescent="0.3"/>
    <row r="841" ht="18" customHeight="1" x14ac:dyDescent="0.3"/>
    <row r="842" ht="18" customHeight="1" x14ac:dyDescent="0.3"/>
    <row r="843" ht="18" customHeight="1" x14ac:dyDescent="0.3"/>
    <row r="844" ht="18" customHeight="1" x14ac:dyDescent="0.3"/>
    <row r="845" ht="18" customHeight="1" x14ac:dyDescent="0.3"/>
    <row r="846" ht="18" customHeight="1" x14ac:dyDescent="0.3"/>
    <row r="847" ht="18" customHeight="1" x14ac:dyDescent="0.3"/>
    <row r="848" ht="18" customHeight="1" x14ac:dyDescent="0.3"/>
    <row r="849" ht="18" customHeight="1" x14ac:dyDescent="0.3"/>
    <row r="850" ht="18" customHeight="1" x14ac:dyDescent="0.3"/>
    <row r="851" ht="18" customHeight="1" x14ac:dyDescent="0.3"/>
    <row r="852" ht="18" customHeight="1" x14ac:dyDescent="0.3"/>
    <row r="853" ht="18" customHeight="1" x14ac:dyDescent="0.3"/>
    <row r="854" ht="18" customHeight="1" x14ac:dyDescent="0.3"/>
    <row r="855" ht="18" customHeight="1" x14ac:dyDescent="0.3"/>
    <row r="856" ht="18" customHeight="1" x14ac:dyDescent="0.3"/>
    <row r="857" ht="18" customHeight="1" x14ac:dyDescent="0.3"/>
    <row r="858" ht="18" customHeight="1" x14ac:dyDescent="0.3"/>
    <row r="859" ht="18" customHeight="1" x14ac:dyDescent="0.3"/>
    <row r="860" ht="18" customHeight="1" x14ac:dyDescent="0.3"/>
    <row r="861" ht="18" customHeight="1" x14ac:dyDescent="0.3"/>
    <row r="862" ht="18" customHeight="1" x14ac:dyDescent="0.3"/>
    <row r="863" ht="18" customHeight="1" x14ac:dyDescent="0.3"/>
    <row r="864" ht="18" customHeight="1" x14ac:dyDescent="0.3"/>
    <row r="865" ht="18" customHeight="1" x14ac:dyDescent="0.3"/>
    <row r="866" ht="18" customHeight="1" x14ac:dyDescent="0.3"/>
    <row r="867" ht="18" customHeight="1" x14ac:dyDescent="0.3"/>
    <row r="868" ht="18" customHeight="1" x14ac:dyDescent="0.3"/>
    <row r="869" ht="18" customHeight="1" x14ac:dyDescent="0.3"/>
    <row r="870" ht="18" customHeight="1" x14ac:dyDescent="0.3"/>
    <row r="871" ht="18" customHeight="1" x14ac:dyDescent="0.3"/>
    <row r="872" ht="18" customHeight="1" x14ac:dyDescent="0.3"/>
    <row r="873" ht="18" customHeight="1" x14ac:dyDescent="0.3"/>
    <row r="874" ht="18" customHeight="1" x14ac:dyDescent="0.3"/>
    <row r="875" ht="18" customHeight="1" x14ac:dyDescent="0.3"/>
    <row r="876" ht="18" customHeight="1" x14ac:dyDescent="0.3"/>
    <row r="877" ht="18" customHeight="1" x14ac:dyDescent="0.3"/>
    <row r="878" ht="18" customHeight="1" x14ac:dyDescent="0.3"/>
    <row r="879" ht="18" customHeight="1" x14ac:dyDescent="0.3"/>
    <row r="880" ht="18" customHeight="1" x14ac:dyDescent="0.3"/>
    <row r="881" ht="18" customHeight="1" x14ac:dyDescent="0.3"/>
    <row r="882" ht="18" customHeight="1" x14ac:dyDescent="0.3"/>
    <row r="883" ht="18" customHeight="1" x14ac:dyDescent="0.3"/>
    <row r="884" ht="18" customHeight="1" x14ac:dyDescent="0.3"/>
    <row r="885" ht="18" customHeight="1" x14ac:dyDescent="0.3"/>
    <row r="886" ht="18" customHeight="1" x14ac:dyDescent="0.3"/>
    <row r="887" ht="18" customHeight="1" x14ac:dyDescent="0.3"/>
    <row r="888" ht="18" customHeight="1" x14ac:dyDescent="0.3"/>
    <row r="889" ht="18" customHeight="1" x14ac:dyDescent="0.3"/>
    <row r="890" ht="18" customHeight="1" x14ac:dyDescent="0.3"/>
    <row r="891" ht="18" customHeight="1" x14ac:dyDescent="0.3"/>
    <row r="892" ht="18" customHeight="1" x14ac:dyDescent="0.3"/>
    <row r="893" ht="18" customHeight="1" x14ac:dyDescent="0.3"/>
    <row r="894" ht="18" customHeight="1" x14ac:dyDescent="0.3"/>
    <row r="895" ht="18" customHeight="1" x14ac:dyDescent="0.3"/>
    <row r="896" ht="18" customHeight="1" x14ac:dyDescent="0.3"/>
    <row r="897" ht="18" customHeight="1" x14ac:dyDescent="0.3"/>
    <row r="898" ht="18" customHeight="1" x14ac:dyDescent="0.3"/>
    <row r="899" ht="18" customHeight="1" x14ac:dyDescent="0.3"/>
    <row r="900" ht="18" customHeight="1" x14ac:dyDescent="0.3"/>
    <row r="901" ht="18" customHeight="1" x14ac:dyDescent="0.3"/>
    <row r="902" ht="18" customHeight="1" x14ac:dyDescent="0.3"/>
    <row r="903" ht="18" customHeight="1" x14ac:dyDescent="0.3"/>
    <row r="904" ht="18" customHeight="1" x14ac:dyDescent="0.3"/>
    <row r="905" ht="18" customHeight="1" x14ac:dyDescent="0.3"/>
    <row r="906" ht="18" customHeight="1" x14ac:dyDescent="0.3"/>
    <row r="907" ht="18" customHeight="1" x14ac:dyDescent="0.3"/>
    <row r="908" ht="18" customHeight="1" x14ac:dyDescent="0.3"/>
    <row r="909" ht="18" customHeight="1" x14ac:dyDescent="0.3"/>
    <row r="910" ht="18" customHeight="1" x14ac:dyDescent="0.3"/>
    <row r="911" ht="18" customHeight="1" x14ac:dyDescent="0.3"/>
    <row r="912" ht="18" customHeight="1" x14ac:dyDescent="0.3"/>
    <row r="913" ht="18" customHeight="1" x14ac:dyDescent="0.3"/>
    <row r="914" ht="18" customHeight="1" x14ac:dyDescent="0.3"/>
    <row r="915" ht="18" customHeight="1" x14ac:dyDescent="0.3"/>
    <row r="916" ht="18" customHeight="1" x14ac:dyDescent="0.3"/>
    <row r="917" ht="18" customHeight="1" x14ac:dyDescent="0.3"/>
    <row r="918" ht="18" customHeight="1" x14ac:dyDescent="0.3"/>
    <row r="919" ht="18" customHeight="1" x14ac:dyDescent="0.3"/>
    <row r="920" ht="18" customHeight="1" x14ac:dyDescent="0.3"/>
    <row r="921" ht="18" customHeight="1" x14ac:dyDescent="0.3"/>
    <row r="922" ht="18" customHeight="1" x14ac:dyDescent="0.3"/>
    <row r="923" ht="18" customHeight="1" x14ac:dyDescent="0.3"/>
    <row r="924" ht="18" customHeight="1" x14ac:dyDescent="0.3"/>
    <row r="925" ht="18" customHeight="1" x14ac:dyDescent="0.3"/>
    <row r="926" ht="18" customHeight="1" x14ac:dyDescent="0.3"/>
    <row r="927" ht="18" customHeight="1" x14ac:dyDescent="0.3"/>
    <row r="928" ht="18" customHeight="1" x14ac:dyDescent="0.3"/>
    <row r="929" ht="18" customHeight="1" x14ac:dyDescent="0.3"/>
    <row r="930" ht="18" customHeight="1" x14ac:dyDescent="0.3"/>
    <row r="931" ht="18" customHeight="1" x14ac:dyDescent="0.3"/>
    <row r="932" ht="18" customHeight="1" x14ac:dyDescent="0.3"/>
    <row r="933" ht="18" customHeight="1" x14ac:dyDescent="0.3"/>
    <row r="934" ht="18" customHeight="1" x14ac:dyDescent="0.3"/>
    <row r="935" ht="18" customHeight="1" x14ac:dyDescent="0.3"/>
    <row r="936" ht="18" customHeight="1" x14ac:dyDescent="0.3"/>
    <row r="937" ht="18" customHeight="1" x14ac:dyDescent="0.3"/>
    <row r="938" ht="18" customHeight="1" x14ac:dyDescent="0.3"/>
    <row r="939" ht="18" customHeight="1" x14ac:dyDescent="0.3"/>
    <row r="940" ht="18" customHeight="1" x14ac:dyDescent="0.3"/>
    <row r="941" ht="18" customHeight="1" x14ac:dyDescent="0.3"/>
    <row r="942" ht="18" customHeight="1" x14ac:dyDescent="0.3"/>
    <row r="943" ht="18" customHeight="1" x14ac:dyDescent="0.3"/>
    <row r="944" ht="18" customHeight="1" x14ac:dyDescent="0.3"/>
    <row r="945" ht="18" customHeight="1" x14ac:dyDescent="0.3"/>
    <row r="946" ht="18" customHeight="1" x14ac:dyDescent="0.3"/>
    <row r="947" ht="18" customHeight="1" x14ac:dyDescent="0.3"/>
    <row r="948" ht="18" customHeight="1" x14ac:dyDescent="0.3"/>
    <row r="949" ht="18" customHeight="1" x14ac:dyDescent="0.3"/>
    <row r="950" ht="18" customHeight="1" x14ac:dyDescent="0.3"/>
    <row r="951" ht="18" customHeight="1" x14ac:dyDescent="0.3"/>
    <row r="952" ht="18" customHeight="1" x14ac:dyDescent="0.3"/>
    <row r="953" ht="18" customHeight="1" x14ac:dyDescent="0.3"/>
    <row r="954" ht="18" customHeight="1" x14ac:dyDescent="0.3"/>
    <row r="955" ht="18" customHeight="1" x14ac:dyDescent="0.3"/>
    <row r="956" ht="18" customHeight="1" x14ac:dyDescent="0.3"/>
    <row r="957" ht="18" customHeight="1" x14ac:dyDescent="0.3"/>
    <row r="958" ht="18" customHeight="1" x14ac:dyDescent="0.3"/>
    <row r="959" ht="18" customHeight="1" x14ac:dyDescent="0.3"/>
    <row r="960" ht="18" customHeight="1" x14ac:dyDescent="0.3"/>
    <row r="961" ht="18" customHeight="1" x14ac:dyDescent="0.3"/>
    <row r="962" ht="18" customHeight="1" x14ac:dyDescent="0.3"/>
    <row r="963" ht="18" customHeight="1" x14ac:dyDescent="0.3"/>
    <row r="964" ht="18" customHeight="1" x14ac:dyDescent="0.3"/>
    <row r="965" ht="18" customHeight="1" x14ac:dyDescent="0.3"/>
    <row r="966" ht="18" customHeight="1" x14ac:dyDescent="0.3"/>
    <row r="967" ht="18" customHeight="1" x14ac:dyDescent="0.3"/>
    <row r="968" ht="18" customHeight="1" x14ac:dyDescent="0.3"/>
    <row r="969" ht="18" customHeight="1" x14ac:dyDescent="0.3"/>
    <row r="970" ht="18" customHeight="1" x14ac:dyDescent="0.3"/>
    <row r="971" ht="18" customHeight="1" x14ac:dyDescent="0.3"/>
    <row r="972" ht="18" customHeight="1" x14ac:dyDescent="0.3"/>
    <row r="973" ht="18" customHeight="1" x14ac:dyDescent="0.3"/>
    <row r="974" ht="18" customHeight="1" x14ac:dyDescent="0.3"/>
    <row r="975" ht="18" customHeight="1" x14ac:dyDescent="0.3"/>
    <row r="976" ht="18" customHeight="1" x14ac:dyDescent="0.3"/>
    <row r="977" ht="18" customHeight="1" x14ac:dyDescent="0.3"/>
    <row r="978" ht="18" customHeight="1" x14ac:dyDescent="0.3"/>
    <row r="979" ht="18" customHeight="1" x14ac:dyDescent="0.3"/>
    <row r="980" ht="18" customHeight="1" x14ac:dyDescent="0.3"/>
    <row r="981" ht="18" customHeight="1" x14ac:dyDescent="0.3"/>
    <row r="982" ht="18" customHeight="1" x14ac:dyDescent="0.3"/>
    <row r="983" ht="18" customHeight="1" x14ac:dyDescent="0.3"/>
    <row r="984" ht="18" customHeight="1" x14ac:dyDescent="0.3"/>
    <row r="985" ht="18" customHeight="1" x14ac:dyDescent="0.3"/>
    <row r="986" ht="18" customHeight="1" x14ac:dyDescent="0.3"/>
    <row r="987" ht="18" customHeight="1" x14ac:dyDescent="0.3"/>
    <row r="988" ht="18" customHeight="1" x14ac:dyDescent="0.3"/>
    <row r="989" ht="18" customHeight="1" x14ac:dyDescent="0.3"/>
    <row r="990" ht="18" customHeight="1" x14ac:dyDescent="0.3"/>
    <row r="991" ht="18" customHeight="1" x14ac:dyDescent="0.3"/>
    <row r="992" ht="18" customHeight="1" x14ac:dyDescent="0.3"/>
    <row r="993" ht="18" customHeight="1" x14ac:dyDescent="0.3"/>
    <row r="994" ht="18" customHeight="1" x14ac:dyDescent="0.3"/>
    <row r="995" ht="18" customHeight="1" x14ac:dyDescent="0.3"/>
    <row r="996" ht="18" customHeight="1" x14ac:dyDescent="0.3"/>
    <row r="997" ht="18" customHeight="1" x14ac:dyDescent="0.3"/>
    <row r="998" ht="18" customHeight="1" x14ac:dyDescent="0.3"/>
    <row r="999" ht="18" customHeight="1" x14ac:dyDescent="0.3"/>
    <row r="1000" ht="18" customHeight="1" x14ac:dyDescent="0.3"/>
    <row r="1001" ht="18" customHeight="1" x14ac:dyDescent="0.3"/>
    <row r="1002" ht="18" customHeight="1" x14ac:dyDescent="0.3"/>
    <row r="1003" ht="18" customHeight="1" x14ac:dyDescent="0.3"/>
    <row r="1004" ht="18" customHeight="1" x14ac:dyDescent="0.3"/>
    <row r="1005" ht="18" customHeight="1" x14ac:dyDescent="0.3"/>
    <row r="1006" ht="18" customHeight="1" x14ac:dyDescent="0.3"/>
    <row r="1007" ht="18" customHeight="1" x14ac:dyDescent="0.3"/>
    <row r="1008" ht="18" customHeight="1" x14ac:dyDescent="0.3"/>
    <row r="1009" ht="18" customHeight="1" x14ac:dyDescent="0.3"/>
    <row r="1010" ht="18" customHeight="1" x14ac:dyDescent="0.3"/>
    <row r="1011" ht="18" customHeight="1" x14ac:dyDescent="0.3"/>
    <row r="1012" ht="18" customHeight="1" x14ac:dyDescent="0.3"/>
    <row r="1013" ht="18" customHeight="1" x14ac:dyDescent="0.3"/>
    <row r="1014" ht="18" customHeight="1" x14ac:dyDescent="0.3"/>
    <row r="1015" ht="18" customHeight="1" x14ac:dyDescent="0.3"/>
    <row r="1016" ht="18" customHeight="1" x14ac:dyDescent="0.3"/>
    <row r="1017" ht="18" customHeight="1" x14ac:dyDescent="0.3"/>
  </sheetData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1001"/>
  <sheetViews>
    <sheetView showGridLines="0" topLeftCell="A6" workbookViewId="0">
      <selection activeCell="C9" sqref="C9"/>
    </sheetView>
  </sheetViews>
  <sheetFormatPr defaultColWidth="12.6640625" defaultRowHeight="15" customHeight="1" x14ac:dyDescent="0.3"/>
  <cols>
    <col min="1" max="1" width="7.6640625" customWidth="1"/>
    <col min="2" max="2" width="30.109375" customWidth="1"/>
    <col min="3" max="3" width="22.33203125" customWidth="1"/>
    <col min="4" max="4" width="20.21875" customWidth="1"/>
    <col min="5" max="5" width="16.6640625" customWidth="1"/>
    <col min="6" max="6" width="16.88671875" customWidth="1"/>
    <col min="7" max="7" width="25.33203125" customWidth="1"/>
    <col min="8" max="8" width="22.5546875" customWidth="1"/>
    <col min="9" max="9" width="12.6640625" customWidth="1"/>
    <col min="10" max="10" width="17" customWidth="1"/>
    <col min="11" max="11" width="19.109375" customWidth="1"/>
    <col min="12" max="12" width="15.5546875" customWidth="1"/>
    <col min="13" max="27" width="7.6640625" customWidth="1"/>
  </cols>
  <sheetData>
    <row r="1" spans="2:12" ht="15" customHeight="1" x14ac:dyDescent="0.3">
      <c r="B1" s="3" t="s">
        <v>71</v>
      </c>
    </row>
    <row r="2" spans="2:12" ht="18" customHeight="1" x14ac:dyDescent="0.3">
      <c r="B2" s="3" t="s">
        <v>38</v>
      </c>
      <c r="C2" s="3"/>
      <c r="D2" s="3"/>
      <c r="E2" s="3"/>
      <c r="F2" s="3"/>
      <c r="G2" s="3"/>
      <c r="H2" s="3"/>
      <c r="I2" s="3"/>
      <c r="J2" s="3" t="s">
        <v>39</v>
      </c>
      <c r="K2" s="3"/>
      <c r="L2" s="3"/>
    </row>
    <row r="3" spans="2:12" ht="18" customHeight="1" x14ac:dyDescent="0.3">
      <c r="B3" s="4" t="s">
        <v>31</v>
      </c>
      <c r="C3" s="4" t="s">
        <v>33</v>
      </c>
      <c r="D3" s="4" t="s">
        <v>32</v>
      </c>
      <c r="E3" s="4" t="s">
        <v>46</v>
      </c>
      <c r="F3" s="4" t="s">
        <v>35</v>
      </c>
      <c r="G3" s="4" t="s">
        <v>81</v>
      </c>
      <c r="H3" s="4" t="s">
        <v>36</v>
      </c>
      <c r="I3" s="3"/>
      <c r="J3" s="4" t="s">
        <v>40</v>
      </c>
      <c r="K3" s="4" t="s">
        <v>52</v>
      </c>
      <c r="L3" s="4" t="s">
        <v>56</v>
      </c>
    </row>
    <row r="4" spans="2:12" ht="14.4" customHeight="1" x14ac:dyDescent="0.3">
      <c r="B4" s="4"/>
      <c r="C4" s="5" t="s">
        <v>41</v>
      </c>
      <c r="D4" s="5" t="s">
        <v>42</v>
      </c>
      <c r="E4" s="5" t="s">
        <v>43</v>
      </c>
      <c r="F4" s="5" t="s">
        <v>44</v>
      </c>
      <c r="G4" s="5" t="s">
        <v>48</v>
      </c>
      <c r="H4" s="5" t="s">
        <v>82</v>
      </c>
      <c r="I4" s="3"/>
      <c r="J4" s="5" t="s">
        <v>83</v>
      </c>
      <c r="K4" s="5" t="s">
        <v>84</v>
      </c>
      <c r="L4" s="5" t="s">
        <v>85</v>
      </c>
    </row>
    <row r="5" spans="2:12" ht="18" customHeight="1" x14ac:dyDescent="0.3">
      <c r="B5" s="22" t="s">
        <v>37</v>
      </c>
      <c r="C5" s="56" t="s">
        <v>0</v>
      </c>
      <c r="D5" s="15" t="s">
        <v>2</v>
      </c>
      <c r="E5" s="15" t="s">
        <v>45</v>
      </c>
      <c r="F5" s="15" t="s">
        <v>3</v>
      </c>
      <c r="G5" s="42" t="s">
        <v>80</v>
      </c>
      <c r="H5" s="16" t="s">
        <v>34</v>
      </c>
      <c r="I5" s="3"/>
      <c r="J5" s="13" t="s">
        <v>49</v>
      </c>
      <c r="K5" s="13" t="s">
        <v>51</v>
      </c>
      <c r="L5" s="13" t="s">
        <v>57</v>
      </c>
    </row>
    <row r="6" spans="2:12" ht="18" customHeight="1" x14ac:dyDescent="0.3">
      <c r="B6" s="25" t="s">
        <v>4</v>
      </c>
      <c r="C6" s="57" t="s">
        <v>6</v>
      </c>
      <c r="D6" s="38" t="s">
        <v>8</v>
      </c>
      <c r="E6" s="38" t="s">
        <v>47</v>
      </c>
      <c r="F6" s="38" t="s">
        <v>10</v>
      </c>
      <c r="G6" s="38" t="s">
        <v>10</v>
      </c>
      <c r="H6" s="39" t="s">
        <v>11</v>
      </c>
      <c r="I6" s="3"/>
      <c r="J6" s="13" t="s">
        <v>50</v>
      </c>
      <c r="K6" s="13" t="s">
        <v>53</v>
      </c>
      <c r="L6" s="13" t="s">
        <v>59</v>
      </c>
    </row>
    <row r="7" spans="2:12" ht="18" customHeight="1" x14ac:dyDescent="0.3">
      <c r="B7" s="23" t="s">
        <v>101</v>
      </c>
      <c r="C7" s="58">
        <v>20</v>
      </c>
      <c r="D7" s="35">
        <v>0.35</v>
      </c>
      <c r="E7" s="7">
        <f>24*365</f>
        <v>8760</v>
      </c>
      <c r="F7" s="65">
        <v>80</v>
      </c>
      <c r="G7" s="44">
        <v>0</v>
      </c>
      <c r="H7" s="17">
        <v>0</v>
      </c>
      <c r="I7" s="3"/>
      <c r="J7" s="12">
        <f>+C7*D7*E7</f>
        <v>61320</v>
      </c>
      <c r="K7" s="12">
        <f>+J7*(F7+G7)</f>
        <v>4905600</v>
      </c>
      <c r="L7" s="11">
        <f>+H7*J7</f>
        <v>0</v>
      </c>
    </row>
    <row r="8" spans="2:12" ht="18" customHeight="1" x14ac:dyDescent="0.3">
      <c r="B8" s="24" t="s">
        <v>75</v>
      </c>
      <c r="C8" s="59">
        <v>30</v>
      </c>
      <c r="D8" s="36">
        <v>0.8</v>
      </c>
      <c r="E8" s="10">
        <f>24*365</f>
        <v>8760</v>
      </c>
      <c r="F8" s="66">
        <v>100</v>
      </c>
      <c r="G8" s="43">
        <v>0</v>
      </c>
      <c r="H8" s="18">
        <v>0.35</v>
      </c>
      <c r="I8" s="3"/>
      <c r="J8" s="12">
        <f t="shared" ref="J8:J15" si="0">+C8*D8*E8</f>
        <v>210240</v>
      </c>
      <c r="K8" s="12">
        <f t="shared" ref="K8:K15" si="1">+J8*(F8+G8)</f>
        <v>21024000</v>
      </c>
      <c r="L8" s="12">
        <f t="shared" ref="L8:L15" si="2">+H8*J8</f>
        <v>73584</v>
      </c>
    </row>
    <row r="9" spans="2:12" ht="18" customHeight="1" x14ac:dyDescent="0.3">
      <c r="B9" s="24" t="s">
        <v>76</v>
      </c>
      <c r="C9" s="59">
        <v>20</v>
      </c>
      <c r="D9" s="36">
        <v>0.8</v>
      </c>
      <c r="E9" s="10">
        <f t="shared" ref="E9:E11" si="3">24*365</f>
        <v>8760</v>
      </c>
      <c r="F9" s="66">
        <v>70</v>
      </c>
      <c r="G9" s="43">
        <v>0</v>
      </c>
      <c r="H9" s="18">
        <v>0.85</v>
      </c>
      <c r="I9" s="3"/>
      <c r="J9" s="12">
        <f t="shared" si="0"/>
        <v>140160</v>
      </c>
      <c r="K9" s="12">
        <f t="shared" si="1"/>
        <v>9811200</v>
      </c>
      <c r="L9" s="12">
        <f t="shared" si="2"/>
        <v>119136</v>
      </c>
    </row>
    <row r="10" spans="2:12" ht="18" customHeight="1" x14ac:dyDescent="0.3">
      <c r="B10" s="24" t="s">
        <v>77</v>
      </c>
      <c r="C10" s="59">
        <v>0</v>
      </c>
      <c r="D10" s="36">
        <v>0.85</v>
      </c>
      <c r="E10" s="10">
        <f t="shared" si="3"/>
        <v>8760</v>
      </c>
      <c r="F10" s="67">
        <v>150</v>
      </c>
      <c r="G10" s="43">
        <v>0</v>
      </c>
      <c r="H10" s="18">
        <v>0</v>
      </c>
      <c r="I10" s="3"/>
      <c r="J10" s="12">
        <f t="shared" si="0"/>
        <v>0</v>
      </c>
      <c r="K10" s="12">
        <f t="shared" si="1"/>
        <v>0</v>
      </c>
      <c r="L10" s="12">
        <f t="shared" si="2"/>
        <v>0</v>
      </c>
    </row>
    <row r="11" spans="2:12" ht="18" customHeight="1" x14ac:dyDescent="0.3">
      <c r="B11" s="24" t="s">
        <v>78</v>
      </c>
      <c r="C11" s="59">
        <v>20</v>
      </c>
      <c r="D11" s="36">
        <v>0.7</v>
      </c>
      <c r="E11" s="10">
        <f t="shared" si="3"/>
        <v>8760</v>
      </c>
      <c r="F11" s="67">
        <v>200</v>
      </c>
      <c r="G11" s="43">
        <v>0</v>
      </c>
      <c r="H11" s="37">
        <v>0.1</v>
      </c>
      <c r="I11" s="3"/>
      <c r="J11" s="12">
        <f t="shared" si="0"/>
        <v>122640</v>
      </c>
      <c r="K11" s="12">
        <f t="shared" si="1"/>
        <v>24528000</v>
      </c>
      <c r="L11" s="12">
        <f t="shared" si="2"/>
        <v>12264</v>
      </c>
    </row>
    <row r="12" spans="2:12" ht="18" customHeight="1" x14ac:dyDescent="0.3">
      <c r="B12" s="25" t="s">
        <v>104</v>
      </c>
      <c r="C12" s="59">
        <v>10</v>
      </c>
      <c r="D12" s="36">
        <v>0.8</v>
      </c>
      <c r="E12" s="10">
        <f>24*365</f>
        <v>8760</v>
      </c>
      <c r="F12" s="66">
        <v>350</v>
      </c>
      <c r="G12" s="43">
        <v>0</v>
      </c>
      <c r="H12" s="18">
        <v>0</v>
      </c>
      <c r="I12" s="3"/>
      <c r="J12" s="12">
        <f t="shared" ref="J12" si="4">+C12*D12*E12</f>
        <v>70080</v>
      </c>
      <c r="K12" s="12">
        <f t="shared" ref="K12" si="5">+J12*(F12+G12)</f>
        <v>24528000</v>
      </c>
      <c r="L12" s="12">
        <f t="shared" ref="L12" si="6">+H12*J12</f>
        <v>0</v>
      </c>
    </row>
    <row r="13" spans="2:12" ht="18" customHeight="1" x14ac:dyDescent="0.3">
      <c r="B13" s="11"/>
      <c r="C13" s="54"/>
      <c r="D13" s="11"/>
      <c r="E13" s="11"/>
      <c r="F13" s="11"/>
      <c r="G13" s="11"/>
      <c r="H13" s="11"/>
      <c r="I13" s="3"/>
      <c r="J13" s="12">
        <f t="shared" si="0"/>
        <v>0</v>
      </c>
      <c r="K13" s="12">
        <f t="shared" si="1"/>
        <v>0</v>
      </c>
      <c r="L13" s="12">
        <f t="shared" si="2"/>
        <v>0</v>
      </c>
    </row>
    <row r="14" spans="2:12" ht="18" customHeight="1" x14ac:dyDescent="0.3">
      <c r="B14" s="26"/>
      <c r="C14" s="55"/>
      <c r="D14" s="26"/>
      <c r="E14" s="26"/>
      <c r="F14" s="26"/>
      <c r="G14" s="26"/>
      <c r="H14" s="26"/>
      <c r="J14" s="12">
        <f t="shared" si="0"/>
        <v>0</v>
      </c>
      <c r="K14" s="12">
        <f t="shared" si="1"/>
        <v>0</v>
      </c>
      <c r="L14" s="12">
        <f t="shared" si="2"/>
        <v>0</v>
      </c>
    </row>
    <row r="15" spans="2:12" ht="18" customHeight="1" x14ac:dyDescent="0.3">
      <c r="B15" s="26"/>
      <c r="C15" s="55"/>
      <c r="D15" s="26"/>
      <c r="E15" s="26"/>
      <c r="F15" s="26"/>
      <c r="G15" s="26"/>
      <c r="H15" s="26"/>
      <c r="J15" s="12">
        <f t="shared" si="0"/>
        <v>0</v>
      </c>
      <c r="K15" s="12">
        <f t="shared" si="1"/>
        <v>0</v>
      </c>
      <c r="L15" s="12">
        <f t="shared" si="2"/>
        <v>0</v>
      </c>
    </row>
    <row r="16" spans="2:12" ht="18" customHeight="1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2:12" ht="18" customHeight="1" x14ac:dyDescent="0.3">
      <c r="B17" s="47" t="s">
        <v>86</v>
      </c>
      <c r="C17" s="47">
        <f>SUM(C7:C15)</f>
        <v>100</v>
      </c>
      <c r="D17" s="47"/>
      <c r="E17" s="47"/>
      <c r="F17" s="47"/>
      <c r="G17" s="47"/>
      <c r="H17" s="47"/>
      <c r="I17" s="47"/>
      <c r="J17" s="60">
        <f t="shared" ref="J17:L17" si="7">SUM(J7:J15)</f>
        <v>604440</v>
      </c>
      <c r="K17" s="60">
        <f t="shared" si="7"/>
        <v>84796800</v>
      </c>
      <c r="L17" s="60">
        <f t="shared" si="7"/>
        <v>204984</v>
      </c>
    </row>
    <row r="18" spans="2:12" ht="18" customHeight="1" x14ac:dyDescent="0.3">
      <c r="B18" s="3"/>
      <c r="C18" s="3" t="s">
        <v>89</v>
      </c>
      <c r="D18" s="3"/>
      <c r="E18" s="3"/>
      <c r="F18" s="3"/>
      <c r="G18" s="3"/>
      <c r="H18" s="3"/>
      <c r="I18" s="3"/>
      <c r="J18" s="3"/>
      <c r="K18" s="69">
        <f>+K17/J17</f>
        <v>140.28985507246378</v>
      </c>
      <c r="L18" s="64">
        <f>+L17/J17</f>
        <v>0.33913043478260868</v>
      </c>
    </row>
    <row r="19" spans="2:12" ht="18" customHeight="1" x14ac:dyDescent="0.3">
      <c r="B19" s="3"/>
      <c r="C19" s="3"/>
      <c r="D19" s="3"/>
      <c r="E19" s="3"/>
      <c r="F19" s="3"/>
      <c r="G19" s="3"/>
      <c r="H19" s="3"/>
      <c r="I19" s="3"/>
      <c r="J19" s="3">
        <f>24*365</f>
        <v>8760</v>
      </c>
    </row>
    <row r="20" spans="2:12" ht="18" customHeight="1" x14ac:dyDescent="0.3">
      <c r="B20" s="3"/>
      <c r="C20" s="3"/>
      <c r="D20" s="3"/>
      <c r="E20" s="3"/>
      <c r="F20" s="3"/>
      <c r="G20" s="3"/>
      <c r="H20" s="3"/>
      <c r="I20" s="3"/>
      <c r="J20" s="3">
        <f>+J17/J19</f>
        <v>69</v>
      </c>
    </row>
    <row r="21" spans="2:12" ht="18" customHeight="1" x14ac:dyDescent="0.3">
      <c r="B21" s="3"/>
      <c r="C21" s="3"/>
      <c r="D21" s="3"/>
      <c r="E21" s="3"/>
      <c r="F21" s="3"/>
      <c r="G21" s="3"/>
      <c r="H21" s="3"/>
      <c r="I21" s="3"/>
      <c r="J21" s="3"/>
    </row>
    <row r="22" spans="2:12" ht="18" customHeight="1" x14ac:dyDescent="0.3"/>
    <row r="23" spans="2:12" ht="18" customHeight="1" x14ac:dyDescent="0.3"/>
    <row r="24" spans="2:12" ht="18" customHeight="1" x14ac:dyDescent="0.3"/>
    <row r="25" spans="2:12" ht="18" customHeight="1" x14ac:dyDescent="0.3"/>
    <row r="26" spans="2:12" ht="18" customHeight="1" x14ac:dyDescent="0.3"/>
    <row r="27" spans="2:12" ht="18" customHeight="1" x14ac:dyDescent="0.3"/>
    <row r="28" spans="2:12" ht="18" customHeight="1" x14ac:dyDescent="0.3"/>
    <row r="29" spans="2:12" ht="18" customHeight="1" x14ac:dyDescent="0.3"/>
    <row r="30" spans="2:12" ht="18" customHeight="1" x14ac:dyDescent="0.3"/>
    <row r="31" spans="2:12" ht="18" customHeight="1" x14ac:dyDescent="0.3"/>
    <row r="32" spans="2:1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  <row r="549" ht="18" customHeight="1" x14ac:dyDescent="0.3"/>
    <row r="550" ht="18" customHeight="1" x14ac:dyDescent="0.3"/>
    <row r="551" ht="18" customHeight="1" x14ac:dyDescent="0.3"/>
    <row r="552" ht="18" customHeight="1" x14ac:dyDescent="0.3"/>
    <row r="553" ht="18" customHeight="1" x14ac:dyDescent="0.3"/>
    <row r="554" ht="18" customHeight="1" x14ac:dyDescent="0.3"/>
    <row r="555" ht="18" customHeight="1" x14ac:dyDescent="0.3"/>
    <row r="556" ht="18" customHeight="1" x14ac:dyDescent="0.3"/>
    <row r="557" ht="18" customHeight="1" x14ac:dyDescent="0.3"/>
    <row r="558" ht="18" customHeight="1" x14ac:dyDescent="0.3"/>
    <row r="559" ht="18" customHeight="1" x14ac:dyDescent="0.3"/>
    <row r="560" ht="18" customHeight="1" x14ac:dyDescent="0.3"/>
    <row r="561" ht="18" customHeight="1" x14ac:dyDescent="0.3"/>
    <row r="562" ht="18" customHeight="1" x14ac:dyDescent="0.3"/>
    <row r="563" ht="18" customHeight="1" x14ac:dyDescent="0.3"/>
    <row r="564" ht="18" customHeight="1" x14ac:dyDescent="0.3"/>
    <row r="565" ht="18" customHeight="1" x14ac:dyDescent="0.3"/>
    <row r="566" ht="18" customHeight="1" x14ac:dyDescent="0.3"/>
    <row r="567" ht="18" customHeight="1" x14ac:dyDescent="0.3"/>
    <row r="568" ht="18" customHeight="1" x14ac:dyDescent="0.3"/>
    <row r="569" ht="18" customHeight="1" x14ac:dyDescent="0.3"/>
    <row r="570" ht="18" customHeight="1" x14ac:dyDescent="0.3"/>
    <row r="571" ht="18" customHeight="1" x14ac:dyDescent="0.3"/>
    <row r="572" ht="18" customHeight="1" x14ac:dyDescent="0.3"/>
    <row r="573" ht="18" customHeight="1" x14ac:dyDescent="0.3"/>
    <row r="574" ht="18" customHeight="1" x14ac:dyDescent="0.3"/>
    <row r="575" ht="18" customHeight="1" x14ac:dyDescent="0.3"/>
    <row r="576" ht="18" customHeight="1" x14ac:dyDescent="0.3"/>
    <row r="577" ht="18" customHeight="1" x14ac:dyDescent="0.3"/>
    <row r="578" ht="18" customHeight="1" x14ac:dyDescent="0.3"/>
    <row r="579" ht="18" customHeight="1" x14ac:dyDescent="0.3"/>
    <row r="580" ht="18" customHeight="1" x14ac:dyDescent="0.3"/>
    <row r="581" ht="18" customHeight="1" x14ac:dyDescent="0.3"/>
    <row r="582" ht="18" customHeight="1" x14ac:dyDescent="0.3"/>
    <row r="583" ht="18" customHeight="1" x14ac:dyDescent="0.3"/>
    <row r="584" ht="18" customHeight="1" x14ac:dyDescent="0.3"/>
    <row r="585" ht="18" customHeight="1" x14ac:dyDescent="0.3"/>
    <row r="586" ht="18" customHeight="1" x14ac:dyDescent="0.3"/>
    <row r="587" ht="18" customHeight="1" x14ac:dyDescent="0.3"/>
    <row r="588" ht="18" customHeight="1" x14ac:dyDescent="0.3"/>
    <row r="589" ht="18" customHeight="1" x14ac:dyDescent="0.3"/>
    <row r="590" ht="18" customHeight="1" x14ac:dyDescent="0.3"/>
    <row r="591" ht="18" customHeight="1" x14ac:dyDescent="0.3"/>
    <row r="592" ht="18" customHeight="1" x14ac:dyDescent="0.3"/>
    <row r="593" ht="18" customHeight="1" x14ac:dyDescent="0.3"/>
    <row r="594" ht="18" customHeight="1" x14ac:dyDescent="0.3"/>
    <row r="595" ht="18" customHeight="1" x14ac:dyDescent="0.3"/>
    <row r="596" ht="18" customHeight="1" x14ac:dyDescent="0.3"/>
    <row r="597" ht="18" customHeight="1" x14ac:dyDescent="0.3"/>
    <row r="598" ht="18" customHeight="1" x14ac:dyDescent="0.3"/>
    <row r="599" ht="18" customHeight="1" x14ac:dyDescent="0.3"/>
    <row r="600" ht="18" customHeight="1" x14ac:dyDescent="0.3"/>
    <row r="601" ht="18" customHeight="1" x14ac:dyDescent="0.3"/>
    <row r="602" ht="18" customHeight="1" x14ac:dyDescent="0.3"/>
    <row r="603" ht="18" customHeight="1" x14ac:dyDescent="0.3"/>
    <row r="604" ht="18" customHeight="1" x14ac:dyDescent="0.3"/>
    <row r="605" ht="18" customHeight="1" x14ac:dyDescent="0.3"/>
    <row r="606" ht="18" customHeight="1" x14ac:dyDescent="0.3"/>
    <row r="607" ht="18" customHeight="1" x14ac:dyDescent="0.3"/>
    <row r="608" ht="18" customHeight="1" x14ac:dyDescent="0.3"/>
    <row r="609" ht="18" customHeight="1" x14ac:dyDescent="0.3"/>
    <row r="610" ht="18" customHeight="1" x14ac:dyDescent="0.3"/>
    <row r="611" ht="18" customHeight="1" x14ac:dyDescent="0.3"/>
    <row r="612" ht="18" customHeight="1" x14ac:dyDescent="0.3"/>
    <row r="613" ht="18" customHeight="1" x14ac:dyDescent="0.3"/>
    <row r="614" ht="18" customHeight="1" x14ac:dyDescent="0.3"/>
    <row r="615" ht="18" customHeight="1" x14ac:dyDescent="0.3"/>
    <row r="616" ht="18" customHeight="1" x14ac:dyDescent="0.3"/>
    <row r="617" ht="18" customHeight="1" x14ac:dyDescent="0.3"/>
    <row r="618" ht="18" customHeight="1" x14ac:dyDescent="0.3"/>
    <row r="619" ht="18" customHeight="1" x14ac:dyDescent="0.3"/>
    <row r="620" ht="18" customHeight="1" x14ac:dyDescent="0.3"/>
    <row r="621" ht="18" customHeight="1" x14ac:dyDescent="0.3"/>
    <row r="622" ht="18" customHeight="1" x14ac:dyDescent="0.3"/>
    <row r="623" ht="18" customHeight="1" x14ac:dyDescent="0.3"/>
    <row r="624" ht="18" customHeight="1" x14ac:dyDescent="0.3"/>
    <row r="625" ht="18" customHeight="1" x14ac:dyDescent="0.3"/>
    <row r="626" ht="18" customHeight="1" x14ac:dyDescent="0.3"/>
    <row r="627" ht="18" customHeight="1" x14ac:dyDescent="0.3"/>
    <row r="628" ht="18" customHeight="1" x14ac:dyDescent="0.3"/>
    <row r="629" ht="18" customHeight="1" x14ac:dyDescent="0.3"/>
    <row r="630" ht="18" customHeight="1" x14ac:dyDescent="0.3"/>
    <row r="631" ht="18" customHeight="1" x14ac:dyDescent="0.3"/>
    <row r="632" ht="18" customHeight="1" x14ac:dyDescent="0.3"/>
    <row r="633" ht="18" customHeight="1" x14ac:dyDescent="0.3"/>
    <row r="634" ht="18" customHeight="1" x14ac:dyDescent="0.3"/>
    <row r="635" ht="18" customHeight="1" x14ac:dyDescent="0.3"/>
    <row r="636" ht="18" customHeight="1" x14ac:dyDescent="0.3"/>
    <row r="637" ht="18" customHeight="1" x14ac:dyDescent="0.3"/>
    <row r="638" ht="18" customHeight="1" x14ac:dyDescent="0.3"/>
    <row r="639" ht="18" customHeight="1" x14ac:dyDescent="0.3"/>
    <row r="640" ht="18" customHeight="1" x14ac:dyDescent="0.3"/>
    <row r="641" ht="18" customHeight="1" x14ac:dyDescent="0.3"/>
    <row r="642" ht="18" customHeight="1" x14ac:dyDescent="0.3"/>
    <row r="643" ht="18" customHeight="1" x14ac:dyDescent="0.3"/>
    <row r="644" ht="18" customHeight="1" x14ac:dyDescent="0.3"/>
    <row r="645" ht="18" customHeight="1" x14ac:dyDescent="0.3"/>
    <row r="646" ht="18" customHeight="1" x14ac:dyDescent="0.3"/>
    <row r="647" ht="18" customHeight="1" x14ac:dyDescent="0.3"/>
    <row r="648" ht="18" customHeight="1" x14ac:dyDescent="0.3"/>
    <row r="649" ht="18" customHeight="1" x14ac:dyDescent="0.3"/>
    <row r="650" ht="18" customHeight="1" x14ac:dyDescent="0.3"/>
    <row r="651" ht="18" customHeight="1" x14ac:dyDescent="0.3"/>
    <row r="652" ht="18" customHeight="1" x14ac:dyDescent="0.3"/>
    <row r="653" ht="18" customHeight="1" x14ac:dyDescent="0.3"/>
    <row r="654" ht="18" customHeight="1" x14ac:dyDescent="0.3"/>
    <row r="655" ht="18" customHeight="1" x14ac:dyDescent="0.3"/>
    <row r="656" ht="18" customHeight="1" x14ac:dyDescent="0.3"/>
    <row r="657" ht="18" customHeight="1" x14ac:dyDescent="0.3"/>
    <row r="658" ht="18" customHeight="1" x14ac:dyDescent="0.3"/>
    <row r="659" ht="18" customHeight="1" x14ac:dyDescent="0.3"/>
    <row r="660" ht="18" customHeight="1" x14ac:dyDescent="0.3"/>
    <row r="661" ht="18" customHeight="1" x14ac:dyDescent="0.3"/>
    <row r="662" ht="18" customHeight="1" x14ac:dyDescent="0.3"/>
    <row r="663" ht="18" customHeight="1" x14ac:dyDescent="0.3"/>
    <row r="664" ht="18" customHeight="1" x14ac:dyDescent="0.3"/>
    <row r="665" ht="18" customHeight="1" x14ac:dyDescent="0.3"/>
    <row r="666" ht="18" customHeight="1" x14ac:dyDescent="0.3"/>
    <row r="667" ht="18" customHeight="1" x14ac:dyDescent="0.3"/>
    <row r="668" ht="18" customHeight="1" x14ac:dyDescent="0.3"/>
    <row r="669" ht="18" customHeight="1" x14ac:dyDescent="0.3"/>
    <row r="670" ht="18" customHeight="1" x14ac:dyDescent="0.3"/>
    <row r="671" ht="18" customHeight="1" x14ac:dyDescent="0.3"/>
    <row r="672" ht="18" customHeight="1" x14ac:dyDescent="0.3"/>
    <row r="673" ht="18" customHeight="1" x14ac:dyDescent="0.3"/>
    <row r="674" ht="18" customHeight="1" x14ac:dyDescent="0.3"/>
    <row r="675" ht="18" customHeight="1" x14ac:dyDescent="0.3"/>
    <row r="676" ht="18" customHeight="1" x14ac:dyDescent="0.3"/>
    <row r="677" ht="18" customHeight="1" x14ac:dyDescent="0.3"/>
    <row r="678" ht="18" customHeight="1" x14ac:dyDescent="0.3"/>
    <row r="679" ht="18" customHeight="1" x14ac:dyDescent="0.3"/>
    <row r="680" ht="18" customHeight="1" x14ac:dyDescent="0.3"/>
    <row r="681" ht="18" customHeight="1" x14ac:dyDescent="0.3"/>
    <row r="682" ht="18" customHeight="1" x14ac:dyDescent="0.3"/>
    <row r="683" ht="18" customHeight="1" x14ac:dyDescent="0.3"/>
    <row r="684" ht="18" customHeight="1" x14ac:dyDescent="0.3"/>
    <row r="685" ht="18" customHeight="1" x14ac:dyDescent="0.3"/>
    <row r="686" ht="18" customHeight="1" x14ac:dyDescent="0.3"/>
    <row r="687" ht="18" customHeight="1" x14ac:dyDescent="0.3"/>
    <row r="688" ht="18" customHeight="1" x14ac:dyDescent="0.3"/>
    <row r="689" ht="18" customHeight="1" x14ac:dyDescent="0.3"/>
    <row r="690" ht="18" customHeight="1" x14ac:dyDescent="0.3"/>
    <row r="691" ht="18" customHeight="1" x14ac:dyDescent="0.3"/>
    <row r="692" ht="18" customHeight="1" x14ac:dyDescent="0.3"/>
    <row r="693" ht="18" customHeight="1" x14ac:dyDescent="0.3"/>
    <row r="694" ht="18" customHeight="1" x14ac:dyDescent="0.3"/>
    <row r="695" ht="18" customHeight="1" x14ac:dyDescent="0.3"/>
    <row r="696" ht="18" customHeight="1" x14ac:dyDescent="0.3"/>
    <row r="697" ht="18" customHeight="1" x14ac:dyDescent="0.3"/>
    <row r="698" ht="18" customHeight="1" x14ac:dyDescent="0.3"/>
    <row r="699" ht="18" customHeight="1" x14ac:dyDescent="0.3"/>
    <row r="700" ht="18" customHeight="1" x14ac:dyDescent="0.3"/>
    <row r="701" ht="18" customHeight="1" x14ac:dyDescent="0.3"/>
    <row r="702" ht="18" customHeight="1" x14ac:dyDescent="0.3"/>
    <row r="703" ht="18" customHeight="1" x14ac:dyDescent="0.3"/>
    <row r="704" ht="18" customHeight="1" x14ac:dyDescent="0.3"/>
    <row r="705" ht="18" customHeight="1" x14ac:dyDescent="0.3"/>
    <row r="706" ht="18" customHeight="1" x14ac:dyDescent="0.3"/>
    <row r="707" ht="18" customHeight="1" x14ac:dyDescent="0.3"/>
    <row r="708" ht="18" customHeight="1" x14ac:dyDescent="0.3"/>
    <row r="709" ht="18" customHeight="1" x14ac:dyDescent="0.3"/>
    <row r="710" ht="18" customHeight="1" x14ac:dyDescent="0.3"/>
    <row r="711" ht="18" customHeight="1" x14ac:dyDescent="0.3"/>
    <row r="712" ht="18" customHeight="1" x14ac:dyDescent="0.3"/>
    <row r="713" ht="18" customHeight="1" x14ac:dyDescent="0.3"/>
    <row r="714" ht="18" customHeight="1" x14ac:dyDescent="0.3"/>
    <row r="715" ht="18" customHeight="1" x14ac:dyDescent="0.3"/>
    <row r="716" ht="18" customHeight="1" x14ac:dyDescent="0.3"/>
    <row r="717" ht="18" customHeight="1" x14ac:dyDescent="0.3"/>
    <row r="718" ht="18" customHeight="1" x14ac:dyDescent="0.3"/>
    <row r="719" ht="18" customHeight="1" x14ac:dyDescent="0.3"/>
    <row r="720" ht="18" customHeight="1" x14ac:dyDescent="0.3"/>
    <row r="721" ht="18" customHeight="1" x14ac:dyDescent="0.3"/>
    <row r="722" ht="18" customHeight="1" x14ac:dyDescent="0.3"/>
    <row r="723" ht="18" customHeight="1" x14ac:dyDescent="0.3"/>
    <row r="724" ht="18" customHeight="1" x14ac:dyDescent="0.3"/>
    <row r="725" ht="18" customHeight="1" x14ac:dyDescent="0.3"/>
    <row r="726" ht="18" customHeight="1" x14ac:dyDescent="0.3"/>
    <row r="727" ht="18" customHeight="1" x14ac:dyDescent="0.3"/>
    <row r="728" ht="18" customHeight="1" x14ac:dyDescent="0.3"/>
    <row r="729" ht="18" customHeight="1" x14ac:dyDescent="0.3"/>
    <row r="730" ht="18" customHeight="1" x14ac:dyDescent="0.3"/>
    <row r="731" ht="18" customHeight="1" x14ac:dyDescent="0.3"/>
    <row r="732" ht="18" customHeight="1" x14ac:dyDescent="0.3"/>
    <row r="733" ht="18" customHeight="1" x14ac:dyDescent="0.3"/>
    <row r="734" ht="18" customHeight="1" x14ac:dyDescent="0.3"/>
    <row r="735" ht="18" customHeight="1" x14ac:dyDescent="0.3"/>
    <row r="736" ht="18" customHeight="1" x14ac:dyDescent="0.3"/>
    <row r="737" ht="18" customHeight="1" x14ac:dyDescent="0.3"/>
    <row r="738" ht="18" customHeight="1" x14ac:dyDescent="0.3"/>
    <row r="739" ht="18" customHeight="1" x14ac:dyDescent="0.3"/>
    <row r="740" ht="18" customHeight="1" x14ac:dyDescent="0.3"/>
    <row r="741" ht="18" customHeight="1" x14ac:dyDescent="0.3"/>
    <row r="742" ht="18" customHeight="1" x14ac:dyDescent="0.3"/>
    <row r="743" ht="18" customHeight="1" x14ac:dyDescent="0.3"/>
    <row r="744" ht="18" customHeight="1" x14ac:dyDescent="0.3"/>
    <row r="745" ht="18" customHeight="1" x14ac:dyDescent="0.3"/>
    <row r="746" ht="18" customHeight="1" x14ac:dyDescent="0.3"/>
    <row r="747" ht="18" customHeight="1" x14ac:dyDescent="0.3"/>
    <row r="748" ht="18" customHeight="1" x14ac:dyDescent="0.3"/>
    <row r="749" ht="18" customHeight="1" x14ac:dyDescent="0.3"/>
    <row r="750" ht="18" customHeight="1" x14ac:dyDescent="0.3"/>
    <row r="751" ht="18" customHeight="1" x14ac:dyDescent="0.3"/>
    <row r="752" ht="18" customHeight="1" x14ac:dyDescent="0.3"/>
    <row r="753" ht="18" customHeight="1" x14ac:dyDescent="0.3"/>
    <row r="754" ht="18" customHeight="1" x14ac:dyDescent="0.3"/>
    <row r="755" ht="18" customHeight="1" x14ac:dyDescent="0.3"/>
    <row r="756" ht="18" customHeight="1" x14ac:dyDescent="0.3"/>
    <row r="757" ht="18" customHeight="1" x14ac:dyDescent="0.3"/>
    <row r="758" ht="18" customHeight="1" x14ac:dyDescent="0.3"/>
    <row r="759" ht="18" customHeight="1" x14ac:dyDescent="0.3"/>
    <row r="760" ht="18" customHeight="1" x14ac:dyDescent="0.3"/>
    <row r="761" ht="18" customHeight="1" x14ac:dyDescent="0.3"/>
    <row r="762" ht="18" customHeight="1" x14ac:dyDescent="0.3"/>
    <row r="763" ht="18" customHeight="1" x14ac:dyDescent="0.3"/>
    <row r="764" ht="18" customHeight="1" x14ac:dyDescent="0.3"/>
    <row r="765" ht="18" customHeight="1" x14ac:dyDescent="0.3"/>
    <row r="766" ht="18" customHeight="1" x14ac:dyDescent="0.3"/>
    <row r="767" ht="18" customHeight="1" x14ac:dyDescent="0.3"/>
    <row r="768" ht="18" customHeight="1" x14ac:dyDescent="0.3"/>
    <row r="769" ht="18" customHeight="1" x14ac:dyDescent="0.3"/>
    <row r="770" ht="18" customHeight="1" x14ac:dyDescent="0.3"/>
    <row r="771" ht="18" customHeight="1" x14ac:dyDescent="0.3"/>
    <row r="772" ht="18" customHeight="1" x14ac:dyDescent="0.3"/>
    <row r="773" ht="18" customHeight="1" x14ac:dyDescent="0.3"/>
    <row r="774" ht="18" customHeight="1" x14ac:dyDescent="0.3"/>
    <row r="775" ht="18" customHeight="1" x14ac:dyDescent="0.3"/>
    <row r="776" ht="18" customHeight="1" x14ac:dyDescent="0.3"/>
    <row r="777" ht="18" customHeight="1" x14ac:dyDescent="0.3"/>
    <row r="778" ht="18" customHeight="1" x14ac:dyDescent="0.3"/>
    <row r="779" ht="18" customHeight="1" x14ac:dyDescent="0.3"/>
    <row r="780" ht="18" customHeight="1" x14ac:dyDescent="0.3"/>
    <row r="781" ht="18" customHeight="1" x14ac:dyDescent="0.3"/>
    <row r="782" ht="18" customHeight="1" x14ac:dyDescent="0.3"/>
    <row r="783" ht="18" customHeight="1" x14ac:dyDescent="0.3"/>
    <row r="784" ht="18" customHeight="1" x14ac:dyDescent="0.3"/>
    <row r="785" ht="18" customHeight="1" x14ac:dyDescent="0.3"/>
    <row r="786" ht="18" customHeight="1" x14ac:dyDescent="0.3"/>
    <row r="787" ht="18" customHeight="1" x14ac:dyDescent="0.3"/>
    <row r="788" ht="18" customHeight="1" x14ac:dyDescent="0.3"/>
    <row r="789" ht="18" customHeight="1" x14ac:dyDescent="0.3"/>
    <row r="790" ht="18" customHeight="1" x14ac:dyDescent="0.3"/>
    <row r="791" ht="18" customHeight="1" x14ac:dyDescent="0.3"/>
    <row r="792" ht="18" customHeight="1" x14ac:dyDescent="0.3"/>
    <row r="793" ht="18" customHeight="1" x14ac:dyDescent="0.3"/>
    <row r="794" ht="18" customHeight="1" x14ac:dyDescent="0.3"/>
    <row r="795" ht="18" customHeight="1" x14ac:dyDescent="0.3"/>
    <row r="796" ht="18" customHeight="1" x14ac:dyDescent="0.3"/>
    <row r="797" ht="18" customHeight="1" x14ac:dyDescent="0.3"/>
    <row r="798" ht="18" customHeight="1" x14ac:dyDescent="0.3"/>
    <row r="799" ht="18" customHeight="1" x14ac:dyDescent="0.3"/>
    <row r="800" ht="18" customHeight="1" x14ac:dyDescent="0.3"/>
    <row r="801" ht="18" customHeight="1" x14ac:dyDescent="0.3"/>
    <row r="802" ht="18" customHeight="1" x14ac:dyDescent="0.3"/>
    <row r="803" ht="18" customHeight="1" x14ac:dyDescent="0.3"/>
    <row r="804" ht="18" customHeight="1" x14ac:dyDescent="0.3"/>
    <row r="805" ht="18" customHeight="1" x14ac:dyDescent="0.3"/>
    <row r="806" ht="18" customHeight="1" x14ac:dyDescent="0.3"/>
    <row r="807" ht="18" customHeight="1" x14ac:dyDescent="0.3"/>
    <row r="808" ht="18" customHeight="1" x14ac:dyDescent="0.3"/>
    <row r="809" ht="18" customHeight="1" x14ac:dyDescent="0.3"/>
    <row r="810" ht="18" customHeight="1" x14ac:dyDescent="0.3"/>
    <row r="811" ht="18" customHeight="1" x14ac:dyDescent="0.3"/>
    <row r="812" ht="18" customHeight="1" x14ac:dyDescent="0.3"/>
    <row r="813" ht="18" customHeight="1" x14ac:dyDescent="0.3"/>
    <row r="814" ht="18" customHeight="1" x14ac:dyDescent="0.3"/>
    <row r="815" ht="18" customHeight="1" x14ac:dyDescent="0.3"/>
    <row r="816" ht="18" customHeight="1" x14ac:dyDescent="0.3"/>
    <row r="817" ht="18" customHeight="1" x14ac:dyDescent="0.3"/>
    <row r="818" ht="18" customHeight="1" x14ac:dyDescent="0.3"/>
    <row r="819" ht="18" customHeight="1" x14ac:dyDescent="0.3"/>
    <row r="820" ht="18" customHeight="1" x14ac:dyDescent="0.3"/>
    <row r="821" ht="18" customHeight="1" x14ac:dyDescent="0.3"/>
    <row r="822" ht="18" customHeight="1" x14ac:dyDescent="0.3"/>
    <row r="823" ht="18" customHeight="1" x14ac:dyDescent="0.3"/>
    <row r="824" ht="18" customHeight="1" x14ac:dyDescent="0.3"/>
    <row r="825" ht="18" customHeight="1" x14ac:dyDescent="0.3"/>
    <row r="826" ht="18" customHeight="1" x14ac:dyDescent="0.3"/>
    <row r="827" ht="18" customHeight="1" x14ac:dyDescent="0.3"/>
    <row r="828" ht="18" customHeight="1" x14ac:dyDescent="0.3"/>
    <row r="829" ht="18" customHeight="1" x14ac:dyDescent="0.3"/>
    <row r="830" ht="18" customHeight="1" x14ac:dyDescent="0.3"/>
    <row r="831" ht="18" customHeight="1" x14ac:dyDescent="0.3"/>
    <row r="832" ht="18" customHeight="1" x14ac:dyDescent="0.3"/>
    <row r="833" ht="18" customHeight="1" x14ac:dyDescent="0.3"/>
    <row r="834" ht="18" customHeight="1" x14ac:dyDescent="0.3"/>
    <row r="835" ht="18" customHeight="1" x14ac:dyDescent="0.3"/>
    <row r="836" ht="18" customHeight="1" x14ac:dyDescent="0.3"/>
    <row r="837" ht="18" customHeight="1" x14ac:dyDescent="0.3"/>
    <row r="838" ht="18" customHeight="1" x14ac:dyDescent="0.3"/>
    <row r="839" ht="18" customHeight="1" x14ac:dyDescent="0.3"/>
    <row r="840" ht="18" customHeight="1" x14ac:dyDescent="0.3"/>
    <row r="841" ht="18" customHeight="1" x14ac:dyDescent="0.3"/>
    <row r="842" ht="18" customHeight="1" x14ac:dyDescent="0.3"/>
    <row r="843" ht="18" customHeight="1" x14ac:dyDescent="0.3"/>
    <row r="844" ht="18" customHeight="1" x14ac:dyDescent="0.3"/>
    <row r="845" ht="18" customHeight="1" x14ac:dyDescent="0.3"/>
    <row r="846" ht="18" customHeight="1" x14ac:dyDescent="0.3"/>
    <row r="847" ht="18" customHeight="1" x14ac:dyDescent="0.3"/>
    <row r="848" ht="18" customHeight="1" x14ac:dyDescent="0.3"/>
    <row r="849" ht="18" customHeight="1" x14ac:dyDescent="0.3"/>
    <row r="850" ht="18" customHeight="1" x14ac:dyDescent="0.3"/>
    <row r="851" ht="18" customHeight="1" x14ac:dyDescent="0.3"/>
    <row r="852" ht="18" customHeight="1" x14ac:dyDescent="0.3"/>
    <row r="853" ht="18" customHeight="1" x14ac:dyDescent="0.3"/>
    <row r="854" ht="18" customHeight="1" x14ac:dyDescent="0.3"/>
    <row r="855" ht="18" customHeight="1" x14ac:dyDescent="0.3"/>
    <row r="856" ht="18" customHeight="1" x14ac:dyDescent="0.3"/>
    <row r="857" ht="18" customHeight="1" x14ac:dyDescent="0.3"/>
    <row r="858" ht="18" customHeight="1" x14ac:dyDescent="0.3"/>
    <row r="859" ht="18" customHeight="1" x14ac:dyDescent="0.3"/>
    <row r="860" ht="18" customHeight="1" x14ac:dyDescent="0.3"/>
    <row r="861" ht="18" customHeight="1" x14ac:dyDescent="0.3"/>
    <row r="862" ht="18" customHeight="1" x14ac:dyDescent="0.3"/>
    <row r="863" ht="18" customHeight="1" x14ac:dyDescent="0.3"/>
    <row r="864" ht="18" customHeight="1" x14ac:dyDescent="0.3"/>
    <row r="865" ht="18" customHeight="1" x14ac:dyDescent="0.3"/>
    <row r="866" ht="18" customHeight="1" x14ac:dyDescent="0.3"/>
    <row r="867" ht="18" customHeight="1" x14ac:dyDescent="0.3"/>
    <row r="868" ht="18" customHeight="1" x14ac:dyDescent="0.3"/>
    <row r="869" ht="18" customHeight="1" x14ac:dyDescent="0.3"/>
    <row r="870" ht="18" customHeight="1" x14ac:dyDescent="0.3"/>
    <row r="871" ht="18" customHeight="1" x14ac:dyDescent="0.3"/>
    <row r="872" ht="18" customHeight="1" x14ac:dyDescent="0.3"/>
    <row r="873" ht="18" customHeight="1" x14ac:dyDescent="0.3"/>
    <row r="874" ht="18" customHeight="1" x14ac:dyDescent="0.3"/>
    <row r="875" ht="18" customHeight="1" x14ac:dyDescent="0.3"/>
    <row r="876" ht="18" customHeight="1" x14ac:dyDescent="0.3"/>
    <row r="877" ht="18" customHeight="1" x14ac:dyDescent="0.3"/>
    <row r="878" ht="18" customHeight="1" x14ac:dyDescent="0.3"/>
    <row r="879" ht="18" customHeight="1" x14ac:dyDescent="0.3"/>
    <row r="880" ht="18" customHeight="1" x14ac:dyDescent="0.3"/>
    <row r="881" ht="18" customHeight="1" x14ac:dyDescent="0.3"/>
    <row r="882" ht="18" customHeight="1" x14ac:dyDescent="0.3"/>
    <row r="883" ht="18" customHeight="1" x14ac:dyDescent="0.3"/>
    <row r="884" ht="18" customHeight="1" x14ac:dyDescent="0.3"/>
    <row r="885" ht="18" customHeight="1" x14ac:dyDescent="0.3"/>
    <row r="886" ht="18" customHeight="1" x14ac:dyDescent="0.3"/>
    <row r="887" ht="18" customHeight="1" x14ac:dyDescent="0.3"/>
    <row r="888" ht="18" customHeight="1" x14ac:dyDescent="0.3"/>
    <row r="889" ht="18" customHeight="1" x14ac:dyDescent="0.3"/>
    <row r="890" ht="18" customHeight="1" x14ac:dyDescent="0.3"/>
    <row r="891" ht="18" customHeight="1" x14ac:dyDescent="0.3"/>
    <row r="892" ht="18" customHeight="1" x14ac:dyDescent="0.3"/>
    <row r="893" ht="18" customHeight="1" x14ac:dyDescent="0.3"/>
    <row r="894" ht="18" customHeight="1" x14ac:dyDescent="0.3"/>
    <row r="895" ht="18" customHeight="1" x14ac:dyDescent="0.3"/>
    <row r="896" ht="18" customHeight="1" x14ac:dyDescent="0.3"/>
    <row r="897" ht="18" customHeight="1" x14ac:dyDescent="0.3"/>
    <row r="898" ht="18" customHeight="1" x14ac:dyDescent="0.3"/>
    <row r="899" ht="18" customHeight="1" x14ac:dyDescent="0.3"/>
    <row r="900" ht="18" customHeight="1" x14ac:dyDescent="0.3"/>
    <row r="901" ht="18" customHeight="1" x14ac:dyDescent="0.3"/>
    <row r="902" ht="18" customHeight="1" x14ac:dyDescent="0.3"/>
    <row r="903" ht="18" customHeight="1" x14ac:dyDescent="0.3"/>
    <row r="904" ht="18" customHeight="1" x14ac:dyDescent="0.3"/>
    <row r="905" ht="18" customHeight="1" x14ac:dyDescent="0.3"/>
    <row r="906" ht="18" customHeight="1" x14ac:dyDescent="0.3"/>
    <row r="907" ht="18" customHeight="1" x14ac:dyDescent="0.3"/>
    <row r="908" ht="18" customHeight="1" x14ac:dyDescent="0.3"/>
    <row r="909" ht="18" customHeight="1" x14ac:dyDescent="0.3"/>
    <row r="910" ht="18" customHeight="1" x14ac:dyDescent="0.3"/>
    <row r="911" ht="18" customHeight="1" x14ac:dyDescent="0.3"/>
    <row r="912" ht="18" customHeight="1" x14ac:dyDescent="0.3"/>
    <row r="913" ht="18" customHeight="1" x14ac:dyDescent="0.3"/>
    <row r="914" ht="18" customHeight="1" x14ac:dyDescent="0.3"/>
    <row r="915" ht="18" customHeight="1" x14ac:dyDescent="0.3"/>
    <row r="916" ht="18" customHeight="1" x14ac:dyDescent="0.3"/>
    <row r="917" ht="18" customHeight="1" x14ac:dyDescent="0.3"/>
    <row r="918" ht="18" customHeight="1" x14ac:dyDescent="0.3"/>
    <row r="919" ht="18" customHeight="1" x14ac:dyDescent="0.3"/>
    <row r="920" ht="18" customHeight="1" x14ac:dyDescent="0.3"/>
    <row r="921" ht="18" customHeight="1" x14ac:dyDescent="0.3"/>
    <row r="922" ht="18" customHeight="1" x14ac:dyDescent="0.3"/>
    <row r="923" ht="18" customHeight="1" x14ac:dyDescent="0.3"/>
    <row r="924" ht="18" customHeight="1" x14ac:dyDescent="0.3"/>
    <row r="925" ht="18" customHeight="1" x14ac:dyDescent="0.3"/>
    <row r="926" ht="18" customHeight="1" x14ac:dyDescent="0.3"/>
    <row r="927" ht="18" customHeight="1" x14ac:dyDescent="0.3"/>
    <row r="928" ht="18" customHeight="1" x14ac:dyDescent="0.3"/>
    <row r="929" ht="18" customHeight="1" x14ac:dyDescent="0.3"/>
    <row r="930" ht="18" customHeight="1" x14ac:dyDescent="0.3"/>
    <row r="931" ht="18" customHeight="1" x14ac:dyDescent="0.3"/>
    <row r="932" ht="18" customHeight="1" x14ac:dyDescent="0.3"/>
    <row r="933" ht="18" customHeight="1" x14ac:dyDescent="0.3"/>
    <row r="934" ht="18" customHeight="1" x14ac:dyDescent="0.3"/>
    <row r="935" ht="18" customHeight="1" x14ac:dyDescent="0.3"/>
    <row r="936" ht="18" customHeight="1" x14ac:dyDescent="0.3"/>
    <row r="937" ht="18" customHeight="1" x14ac:dyDescent="0.3"/>
    <row r="938" ht="18" customHeight="1" x14ac:dyDescent="0.3"/>
    <row r="939" ht="18" customHeight="1" x14ac:dyDescent="0.3"/>
    <row r="940" ht="18" customHeight="1" x14ac:dyDescent="0.3"/>
    <row r="941" ht="18" customHeight="1" x14ac:dyDescent="0.3"/>
    <row r="942" ht="18" customHeight="1" x14ac:dyDescent="0.3"/>
    <row r="943" ht="18" customHeight="1" x14ac:dyDescent="0.3"/>
    <row r="944" ht="18" customHeight="1" x14ac:dyDescent="0.3"/>
    <row r="945" ht="18" customHeight="1" x14ac:dyDescent="0.3"/>
    <row r="946" ht="18" customHeight="1" x14ac:dyDescent="0.3"/>
    <row r="947" ht="18" customHeight="1" x14ac:dyDescent="0.3"/>
    <row r="948" ht="18" customHeight="1" x14ac:dyDescent="0.3"/>
    <row r="949" ht="18" customHeight="1" x14ac:dyDescent="0.3"/>
    <row r="950" ht="18" customHeight="1" x14ac:dyDescent="0.3"/>
    <row r="951" ht="18" customHeight="1" x14ac:dyDescent="0.3"/>
    <row r="952" ht="18" customHeight="1" x14ac:dyDescent="0.3"/>
    <row r="953" ht="18" customHeight="1" x14ac:dyDescent="0.3"/>
    <row r="954" ht="18" customHeight="1" x14ac:dyDescent="0.3"/>
    <row r="955" ht="18" customHeight="1" x14ac:dyDescent="0.3"/>
    <row r="956" ht="18" customHeight="1" x14ac:dyDescent="0.3"/>
    <row r="957" ht="18" customHeight="1" x14ac:dyDescent="0.3"/>
    <row r="958" ht="18" customHeight="1" x14ac:dyDescent="0.3"/>
    <row r="959" ht="18" customHeight="1" x14ac:dyDescent="0.3"/>
    <row r="960" ht="18" customHeight="1" x14ac:dyDescent="0.3"/>
    <row r="961" ht="18" customHeight="1" x14ac:dyDescent="0.3"/>
    <row r="962" ht="18" customHeight="1" x14ac:dyDescent="0.3"/>
    <row r="963" ht="18" customHeight="1" x14ac:dyDescent="0.3"/>
    <row r="964" ht="18" customHeight="1" x14ac:dyDescent="0.3"/>
    <row r="965" ht="18" customHeight="1" x14ac:dyDescent="0.3"/>
    <row r="966" ht="18" customHeight="1" x14ac:dyDescent="0.3"/>
    <row r="967" ht="18" customHeight="1" x14ac:dyDescent="0.3"/>
    <row r="968" ht="18" customHeight="1" x14ac:dyDescent="0.3"/>
    <row r="969" ht="18" customHeight="1" x14ac:dyDescent="0.3"/>
    <row r="970" ht="18" customHeight="1" x14ac:dyDescent="0.3"/>
    <row r="971" ht="18" customHeight="1" x14ac:dyDescent="0.3"/>
    <row r="972" ht="18" customHeight="1" x14ac:dyDescent="0.3"/>
    <row r="973" ht="18" customHeight="1" x14ac:dyDescent="0.3"/>
    <row r="974" ht="18" customHeight="1" x14ac:dyDescent="0.3"/>
    <row r="975" ht="18" customHeight="1" x14ac:dyDescent="0.3"/>
    <row r="976" ht="18" customHeight="1" x14ac:dyDescent="0.3"/>
    <row r="977" ht="18" customHeight="1" x14ac:dyDescent="0.3"/>
    <row r="978" ht="18" customHeight="1" x14ac:dyDescent="0.3"/>
    <row r="979" ht="18" customHeight="1" x14ac:dyDescent="0.3"/>
    <row r="980" ht="18" customHeight="1" x14ac:dyDescent="0.3"/>
    <row r="981" ht="18" customHeight="1" x14ac:dyDescent="0.3"/>
    <row r="982" ht="18" customHeight="1" x14ac:dyDescent="0.3"/>
    <row r="983" ht="18" customHeight="1" x14ac:dyDescent="0.3"/>
    <row r="984" ht="18" customHeight="1" x14ac:dyDescent="0.3"/>
    <row r="985" ht="18" customHeight="1" x14ac:dyDescent="0.3"/>
    <row r="986" ht="18" customHeight="1" x14ac:dyDescent="0.3"/>
    <row r="987" ht="18" customHeight="1" x14ac:dyDescent="0.3"/>
    <row r="988" ht="18" customHeight="1" x14ac:dyDescent="0.3"/>
    <row r="989" ht="18" customHeight="1" x14ac:dyDescent="0.3"/>
    <row r="990" ht="18" customHeight="1" x14ac:dyDescent="0.3"/>
    <row r="991" ht="18" customHeight="1" x14ac:dyDescent="0.3"/>
    <row r="992" ht="18" customHeight="1" x14ac:dyDescent="0.3"/>
    <row r="993" ht="18" customHeight="1" x14ac:dyDescent="0.3"/>
    <row r="994" ht="18" customHeight="1" x14ac:dyDescent="0.3"/>
    <row r="995" ht="18" customHeight="1" x14ac:dyDescent="0.3"/>
    <row r="996" ht="18" customHeight="1" x14ac:dyDescent="0.3"/>
    <row r="997" ht="18" customHeight="1" x14ac:dyDescent="0.3"/>
    <row r="998" ht="18" customHeight="1" x14ac:dyDescent="0.3"/>
    <row r="999" ht="18" customHeight="1" x14ac:dyDescent="0.3"/>
    <row r="1000" ht="18" customHeight="1" x14ac:dyDescent="0.3"/>
    <row r="1001" ht="18" customHeight="1" x14ac:dyDescent="0.3"/>
  </sheetData>
  <phoneticPr fontId="3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5F04D-1317-45DF-96E0-3C3A6018007C}">
  <dimension ref="A3:K23"/>
  <sheetViews>
    <sheetView topLeftCell="B2" workbookViewId="0">
      <selection activeCell="G13" sqref="G13"/>
    </sheetView>
  </sheetViews>
  <sheetFormatPr defaultRowHeight="14.4" x14ac:dyDescent="0.3"/>
  <cols>
    <col min="2" max="2" width="26.21875" customWidth="1"/>
    <col min="3" max="3" width="16.44140625" customWidth="1"/>
    <col min="4" max="4" width="13.77734375" customWidth="1"/>
    <col min="5" max="5" width="16.6640625" customWidth="1"/>
    <col min="7" max="7" width="12.109375" customWidth="1"/>
    <col min="8" max="8" width="12.77734375" customWidth="1"/>
  </cols>
  <sheetData>
    <row r="3" spans="1:11" x14ac:dyDescent="0.3">
      <c r="A3" s="3"/>
      <c r="B3" s="3"/>
      <c r="C3" s="3"/>
      <c r="D3" s="3"/>
      <c r="E3" s="3"/>
      <c r="F3" s="3"/>
      <c r="G3" s="3"/>
    </row>
    <row r="4" spans="1:11" x14ac:dyDescent="0.3">
      <c r="A4" s="3"/>
      <c r="B4" s="3"/>
      <c r="C4" s="3"/>
      <c r="D4" s="3"/>
      <c r="E4" s="3"/>
      <c r="F4" s="3"/>
      <c r="G4" s="3" t="s">
        <v>88</v>
      </c>
    </row>
    <row r="5" spans="1:11" x14ac:dyDescent="0.3">
      <c r="A5" s="3"/>
      <c r="B5" s="13"/>
      <c r="C5" s="13" t="s">
        <v>96</v>
      </c>
      <c r="D5" s="13" t="s">
        <v>51</v>
      </c>
      <c r="E5" s="13" t="s">
        <v>58</v>
      </c>
      <c r="F5" s="3"/>
      <c r="G5" s="3"/>
    </row>
    <row r="6" spans="1:11" x14ac:dyDescent="0.3">
      <c r="A6" s="3"/>
      <c r="B6" s="13"/>
      <c r="C6" s="13" t="s">
        <v>64</v>
      </c>
      <c r="D6" s="13" t="s">
        <v>53</v>
      </c>
      <c r="E6" s="13" t="s">
        <v>59</v>
      </c>
      <c r="F6" s="3"/>
      <c r="G6" s="3" t="s">
        <v>99</v>
      </c>
      <c r="H6" s="3" t="s">
        <v>100</v>
      </c>
      <c r="J6" s="3" t="s">
        <v>102</v>
      </c>
      <c r="K6" s="3" t="s">
        <v>103</v>
      </c>
    </row>
    <row r="7" spans="1:11" x14ac:dyDescent="0.3">
      <c r="A7" s="3"/>
      <c r="B7" s="11" t="s">
        <v>95</v>
      </c>
      <c r="C7" s="61">
        <f>+'onsite-power'!J17</f>
        <v>604440</v>
      </c>
      <c r="D7" s="61">
        <f>+'onsite-power'!K17</f>
        <v>84796800</v>
      </c>
      <c r="E7" s="61">
        <f>+'onsite-power'!L17</f>
        <v>204984</v>
      </c>
      <c r="F7" s="3"/>
      <c r="G7" s="8">
        <f>+D7/C7</f>
        <v>140.28985507246378</v>
      </c>
      <c r="H7" s="64">
        <f>+E7/C7</f>
        <v>0.33913043478260868</v>
      </c>
      <c r="J7" s="8">
        <f>+H7*B17</f>
        <v>33.913043478260867</v>
      </c>
      <c r="K7" s="45">
        <f>+J7+G7</f>
        <v>174.20289855072465</v>
      </c>
    </row>
    <row r="8" spans="1:11" x14ac:dyDescent="0.3">
      <c r="A8" s="3"/>
      <c r="B8" s="11" t="s">
        <v>94</v>
      </c>
      <c r="C8" s="61">
        <f>+'grid-power'!C32</f>
        <v>270000</v>
      </c>
      <c r="D8" s="61">
        <f>+'grid-power'!G32</f>
        <v>24030000</v>
      </c>
      <c r="E8" s="61">
        <f>+'grid-power'!H32</f>
        <v>87423.75</v>
      </c>
      <c r="F8" s="3"/>
      <c r="G8" s="3">
        <f>+D8/C8</f>
        <v>89</v>
      </c>
      <c r="H8" s="3">
        <f>+E8/C8</f>
        <v>0.32379166666666664</v>
      </c>
      <c r="J8" s="3">
        <f>+H8*B17</f>
        <v>32.379166666666663</v>
      </c>
      <c r="K8" s="3">
        <f>+J8+G8</f>
        <v>121.37916666666666</v>
      </c>
    </row>
    <row r="9" spans="1:11" x14ac:dyDescent="0.3">
      <c r="A9" s="3"/>
      <c r="B9" s="62"/>
      <c r="C9" s="62"/>
      <c r="D9" s="62"/>
      <c r="E9" s="62"/>
      <c r="F9" s="3"/>
      <c r="G9" s="3"/>
    </row>
    <row r="10" spans="1:11" x14ac:dyDescent="0.3">
      <c r="A10" s="3"/>
      <c r="B10" s="47" t="s">
        <v>86</v>
      </c>
      <c r="C10" s="48">
        <f>SUM(C7:C8)</f>
        <v>874440</v>
      </c>
      <c r="D10" s="48">
        <f t="shared" ref="D10:E10" si="0">SUM(D7:D8)</f>
        <v>108826800</v>
      </c>
      <c r="E10" s="48">
        <f t="shared" si="0"/>
        <v>292407.75</v>
      </c>
      <c r="F10" s="3"/>
      <c r="G10" s="3"/>
    </row>
    <row r="11" spans="1:11" x14ac:dyDescent="0.3">
      <c r="A11" s="3"/>
      <c r="B11" s="3"/>
      <c r="C11" s="3"/>
      <c r="D11" s="3"/>
      <c r="E11" s="3"/>
      <c r="F11" s="3"/>
      <c r="G11" s="3"/>
    </row>
    <row r="12" spans="1:11" x14ac:dyDescent="0.3">
      <c r="A12" s="3"/>
      <c r="B12" s="3"/>
      <c r="C12" s="3">
        <f>24*365</f>
        <v>8760</v>
      </c>
      <c r="D12" s="3"/>
      <c r="E12" s="3"/>
      <c r="F12" s="3"/>
      <c r="G12" s="3"/>
    </row>
    <row r="13" spans="1:11" x14ac:dyDescent="0.3">
      <c r="A13" s="3"/>
      <c r="C13" s="8">
        <f>+C10/C12</f>
        <v>99.821917808219183</v>
      </c>
      <c r="D13" s="3"/>
      <c r="E13" s="3"/>
      <c r="F13" s="3"/>
      <c r="G13" s="3"/>
    </row>
    <row r="14" spans="1:11" x14ac:dyDescent="0.3">
      <c r="A14" s="3"/>
      <c r="B14" s="3" t="s">
        <v>90</v>
      </c>
      <c r="C14" s="3"/>
      <c r="D14" s="3"/>
      <c r="E14" s="3"/>
      <c r="F14" s="3"/>
      <c r="G14" s="3"/>
    </row>
    <row r="15" spans="1:11" x14ac:dyDescent="0.3">
      <c r="A15" s="3"/>
      <c r="B15" s="11" t="s">
        <v>91</v>
      </c>
      <c r="C15" s="3"/>
      <c r="D15" s="3"/>
      <c r="E15" s="3"/>
      <c r="F15" s="3"/>
      <c r="G15" s="3"/>
    </row>
    <row r="16" spans="1:11" x14ac:dyDescent="0.3">
      <c r="A16" s="3"/>
      <c r="B16" s="11" t="s">
        <v>92</v>
      </c>
      <c r="C16" s="3"/>
      <c r="D16" s="3"/>
      <c r="E16" s="3"/>
      <c r="F16" s="3"/>
      <c r="G16" s="3"/>
    </row>
    <row r="17" spans="1:7" x14ac:dyDescent="0.3">
      <c r="A17" s="3"/>
      <c r="B17" s="11">
        <v>100</v>
      </c>
      <c r="D17" s="3"/>
      <c r="E17" s="11" t="s">
        <v>93</v>
      </c>
      <c r="F17" s="3"/>
      <c r="G17" s="3"/>
    </row>
    <row r="18" spans="1:7" x14ac:dyDescent="0.3">
      <c r="A18" s="3"/>
      <c r="B18" s="3"/>
      <c r="D18" s="3"/>
      <c r="E18" s="13" t="s">
        <v>53</v>
      </c>
      <c r="F18" s="3"/>
      <c r="G18" s="3"/>
    </row>
    <row r="19" spans="1:7" x14ac:dyDescent="0.3">
      <c r="A19" s="3"/>
      <c r="B19" s="3"/>
      <c r="D19" s="3"/>
      <c r="E19" s="12">
        <f>+B17*E10</f>
        <v>29240775</v>
      </c>
      <c r="F19" s="3"/>
      <c r="G19" s="3"/>
    </row>
    <row r="20" spans="1:7" ht="15" thickBot="1" x14ac:dyDescent="0.35"/>
    <row r="21" spans="1:7" ht="21.6" customHeight="1" thickBot="1" x14ac:dyDescent="0.35">
      <c r="C21" s="3"/>
      <c r="D21" s="46" t="s">
        <v>97</v>
      </c>
      <c r="E21" s="63">
        <f>+E19+D10</f>
        <v>138067575</v>
      </c>
    </row>
    <row r="22" spans="1:7" x14ac:dyDescent="0.3">
      <c r="C22" s="3"/>
      <c r="E22" s="2" t="s">
        <v>98</v>
      </c>
    </row>
    <row r="23" spans="1:7" x14ac:dyDescent="0.3">
      <c r="C23" s="3"/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D45A1-BB67-4E42-BE19-77FC35051B00}">
  <dimension ref="B1:K1000"/>
  <sheetViews>
    <sheetView showGridLines="0" workbookViewId="0">
      <selection activeCell="B6" sqref="B6"/>
    </sheetView>
  </sheetViews>
  <sheetFormatPr defaultColWidth="12.6640625" defaultRowHeight="15" customHeight="1" x14ac:dyDescent="0.3"/>
  <cols>
    <col min="1" max="1" width="7.6640625" customWidth="1"/>
    <col min="2" max="2" width="30.109375" customWidth="1"/>
    <col min="3" max="3" width="22.33203125" customWidth="1"/>
    <col min="4" max="4" width="20.21875" customWidth="1"/>
    <col min="5" max="5" width="16.6640625" customWidth="1"/>
    <col min="6" max="6" width="16.88671875" customWidth="1"/>
    <col min="7" max="7" width="22.5546875" customWidth="1"/>
    <col min="8" max="8" width="7.6640625" customWidth="1"/>
    <col min="9" max="9" width="17" customWidth="1"/>
    <col min="10" max="10" width="19.109375" customWidth="1"/>
    <col min="11" max="11" width="15.5546875" customWidth="1"/>
    <col min="12" max="26" width="7.6640625" customWidth="1"/>
  </cols>
  <sheetData>
    <row r="1" spans="2:11" ht="15" customHeight="1" x14ac:dyDescent="0.3">
      <c r="B1" s="3" t="s">
        <v>71</v>
      </c>
    </row>
    <row r="2" spans="2:11" ht="18" customHeight="1" x14ac:dyDescent="0.3">
      <c r="B2" s="3" t="s">
        <v>38</v>
      </c>
      <c r="C2" s="3"/>
      <c r="D2" s="3"/>
      <c r="E2" s="3"/>
      <c r="F2" s="3"/>
      <c r="G2" s="3"/>
      <c r="H2" s="3"/>
      <c r="I2" s="3" t="s">
        <v>39</v>
      </c>
      <c r="J2" s="3"/>
      <c r="K2" s="3"/>
    </row>
    <row r="3" spans="2:11" ht="18" customHeight="1" x14ac:dyDescent="0.3">
      <c r="B3" s="4" t="s">
        <v>31</v>
      </c>
      <c r="C3" s="4" t="s">
        <v>33</v>
      </c>
      <c r="D3" s="4" t="s">
        <v>32</v>
      </c>
      <c r="E3" s="4" t="s">
        <v>46</v>
      </c>
      <c r="F3" s="4" t="s">
        <v>35</v>
      </c>
      <c r="G3" s="4" t="s">
        <v>36</v>
      </c>
      <c r="H3" s="3"/>
      <c r="I3" s="4" t="s">
        <v>40</v>
      </c>
      <c r="J3" s="4" t="s">
        <v>52</v>
      </c>
      <c r="K3" s="4" t="s">
        <v>56</v>
      </c>
    </row>
    <row r="4" spans="2:11" ht="18" customHeight="1" x14ac:dyDescent="0.3">
      <c r="B4" s="4"/>
      <c r="C4" s="5" t="s">
        <v>41</v>
      </c>
      <c r="D4" s="5" t="s">
        <v>42</v>
      </c>
      <c r="E4" s="5" t="s">
        <v>43</v>
      </c>
      <c r="F4" s="5" t="s">
        <v>44</v>
      </c>
      <c r="G4" s="5" t="s">
        <v>48</v>
      </c>
      <c r="H4" s="3"/>
      <c r="I4" s="5" t="s">
        <v>54</v>
      </c>
      <c r="J4" s="5" t="s">
        <v>55</v>
      </c>
      <c r="K4" s="5" t="s">
        <v>60</v>
      </c>
    </row>
    <row r="5" spans="2:11" ht="18" customHeight="1" x14ac:dyDescent="0.3">
      <c r="B5" s="22" t="s">
        <v>37</v>
      </c>
      <c r="C5" s="14" t="s">
        <v>0</v>
      </c>
      <c r="D5" s="15" t="s">
        <v>2</v>
      </c>
      <c r="E5" s="15" t="s">
        <v>45</v>
      </c>
      <c r="F5" s="15" t="s">
        <v>3</v>
      </c>
      <c r="G5" s="16" t="s">
        <v>34</v>
      </c>
      <c r="H5" s="3"/>
      <c r="I5" s="13" t="s">
        <v>49</v>
      </c>
      <c r="J5" s="13" t="s">
        <v>51</v>
      </c>
      <c r="K5" s="13" t="s">
        <v>57</v>
      </c>
    </row>
    <row r="6" spans="2:11" ht="18" customHeight="1" x14ac:dyDescent="0.3">
      <c r="B6" s="25" t="s">
        <v>4</v>
      </c>
      <c r="C6" s="40" t="s">
        <v>6</v>
      </c>
      <c r="D6" s="38" t="s">
        <v>8</v>
      </c>
      <c r="E6" s="38" t="s">
        <v>47</v>
      </c>
      <c r="F6" s="38" t="s">
        <v>10</v>
      </c>
      <c r="G6" s="39" t="s">
        <v>11</v>
      </c>
      <c r="H6" s="3"/>
      <c r="I6" s="13" t="s">
        <v>50</v>
      </c>
      <c r="J6" s="13" t="s">
        <v>53</v>
      </c>
      <c r="K6" s="13" t="s">
        <v>59</v>
      </c>
    </row>
    <row r="7" spans="2:11" ht="18" customHeight="1" x14ac:dyDescent="0.3">
      <c r="B7" s="23" t="s">
        <v>17</v>
      </c>
      <c r="C7" s="6">
        <v>100</v>
      </c>
      <c r="D7" s="7">
        <v>90</v>
      </c>
      <c r="E7" s="7">
        <v>1</v>
      </c>
      <c r="F7" s="7">
        <v>100</v>
      </c>
      <c r="G7" s="17">
        <v>0.5</v>
      </c>
      <c r="H7" s="3"/>
      <c r="I7" s="12">
        <f>+C7*D7*E7</f>
        <v>9000</v>
      </c>
      <c r="J7" s="12">
        <f>+I7*G7</f>
        <v>4500</v>
      </c>
      <c r="K7" s="11"/>
    </row>
    <row r="8" spans="2:11" ht="18" customHeight="1" x14ac:dyDescent="0.3">
      <c r="B8" s="24" t="s">
        <v>26</v>
      </c>
      <c r="C8" s="9"/>
      <c r="D8" s="10"/>
      <c r="E8" s="10"/>
      <c r="F8" s="10"/>
      <c r="G8" s="18"/>
      <c r="H8" s="3"/>
      <c r="I8" s="11"/>
      <c r="J8" s="11"/>
      <c r="K8" s="11"/>
    </row>
    <row r="9" spans="2:11" ht="18" customHeight="1" x14ac:dyDescent="0.3">
      <c r="B9" s="24" t="s">
        <v>27</v>
      </c>
      <c r="C9" s="9"/>
      <c r="D9" s="10"/>
      <c r="E9" s="10"/>
      <c r="F9" s="10"/>
      <c r="G9" s="18"/>
      <c r="H9" s="3"/>
      <c r="I9" s="11"/>
      <c r="J9" s="11"/>
      <c r="K9" s="11"/>
    </row>
    <row r="10" spans="2:11" ht="18" customHeight="1" x14ac:dyDescent="0.3">
      <c r="B10" s="24" t="s">
        <v>28</v>
      </c>
      <c r="C10" s="9"/>
      <c r="D10" s="10"/>
      <c r="E10" s="10"/>
      <c r="F10" s="10"/>
      <c r="G10" s="18"/>
      <c r="H10" s="3"/>
      <c r="I10" s="11"/>
      <c r="J10" s="11"/>
      <c r="K10" s="11"/>
    </row>
    <row r="11" spans="2:11" ht="18" customHeight="1" x14ac:dyDescent="0.3">
      <c r="B11" s="24" t="s">
        <v>29</v>
      </c>
      <c r="C11" s="9"/>
      <c r="D11" s="10"/>
      <c r="E11" s="10"/>
      <c r="F11" s="10"/>
      <c r="G11" s="18"/>
      <c r="H11" s="3"/>
      <c r="I11" s="11"/>
      <c r="J11" s="11"/>
      <c r="K11" s="11"/>
    </row>
    <row r="12" spans="2:11" ht="18" customHeight="1" x14ac:dyDescent="0.3">
      <c r="B12" s="25" t="s">
        <v>30</v>
      </c>
      <c r="C12" s="19"/>
      <c r="D12" s="20"/>
      <c r="E12" s="20"/>
      <c r="F12" s="20"/>
      <c r="G12" s="21"/>
      <c r="H12" s="3"/>
      <c r="I12" s="11"/>
      <c r="J12" s="11"/>
      <c r="K12" s="11"/>
    </row>
    <row r="13" spans="2:11" ht="18" customHeight="1" x14ac:dyDescent="0.3">
      <c r="B13" s="11"/>
      <c r="C13" s="11"/>
      <c r="D13" s="11"/>
      <c r="E13" s="11"/>
      <c r="F13" s="11"/>
      <c r="G13" s="11"/>
      <c r="H13" s="3"/>
      <c r="I13" s="11"/>
      <c r="J13" s="11"/>
      <c r="K13" s="11"/>
    </row>
    <row r="14" spans="2:11" ht="18" customHeight="1" x14ac:dyDescent="0.3">
      <c r="B14" s="26"/>
      <c r="C14" s="26"/>
      <c r="D14" s="26"/>
      <c r="E14" s="26"/>
      <c r="F14" s="26"/>
      <c r="G14" s="26"/>
      <c r="I14" s="26"/>
      <c r="J14" s="26"/>
      <c r="K14" s="26"/>
    </row>
    <row r="15" spans="2:11" ht="18" customHeight="1" x14ac:dyDescent="0.3">
      <c r="B15" s="26"/>
      <c r="C15" s="26"/>
      <c r="D15" s="26"/>
      <c r="E15" s="26"/>
      <c r="F15" s="26"/>
      <c r="G15" s="26"/>
      <c r="I15" s="26"/>
      <c r="J15" s="26"/>
      <c r="K15" s="26"/>
    </row>
    <row r="16" spans="2:11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  <row r="549" ht="18" customHeight="1" x14ac:dyDescent="0.3"/>
    <row r="550" ht="18" customHeight="1" x14ac:dyDescent="0.3"/>
    <row r="551" ht="18" customHeight="1" x14ac:dyDescent="0.3"/>
    <row r="552" ht="18" customHeight="1" x14ac:dyDescent="0.3"/>
    <row r="553" ht="18" customHeight="1" x14ac:dyDescent="0.3"/>
    <row r="554" ht="18" customHeight="1" x14ac:dyDescent="0.3"/>
    <row r="555" ht="18" customHeight="1" x14ac:dyDescent="0.3"/>
    <row r="556" ht="18" customHeight="1" x14ac:dyDescent="0.3"/>
    <row r="557" ht="18" customHeight="1" x14ac:dyDescent="0.3"/>
    <row r="558" ht="18" customHeight="1" x14ac:dyDescent="0.3"/>
    <row r="559" ht="18" customHeight="1" x14ac:dyDescent="0.3"/>
    <row r="560" ht="18" customHeight="1" x14ac:dyDescent="0.3"/>
    <row r="561" ht="18" customHeight="1" x14ac:dyDescent="0.3"/>
    <row r="562" ht="18" customHeight="1" x14ac:dyDescent="0.3"/>
    <row r="563" ht="18" customHeight="1" x14ac:dyDescent="0.3"/>
    <row r="564" ht="18" customHeight="1" x14ac:dyDescent="0.3"/>
    <row r="565" ht="18" customHeight="1" x14ac:dyDescent="0.3"/>
    <row r="566" ht="18" customHeight="1" x14ac:dyDescent="0.3"/>
    <row r="567" ht="18" customHeight="1" x14ac:dyDescent="0.3"/>
    <row r="568" ht="18" customHeight="1" x14ac:dyDescent="0.3"/>
    <row r="569" ht="18" customHeight="1" x14ac:dyDescent="0.3"/>
    <row r="570" ht="18" customHeight="1" x14ac:dyDescent="0.3"/>
    <row r="571" ht="18" customHeight="1" x14ac:dyDescent="0.3"/>
    <row r="572" ht="18" customHeight="1" x14ac:dyDescent="0.3"/>
    <row r="573" ht="18" customHeight="1" x14ac:dyDescent="0.3"/>
    <row r="574" ht="18" customHeight="1" x14ac:dyDescent="0.3"/>
    <row r="575" ht="18" customHeight="1" x14ac:dyDescent="0.3"/>
    <row r="576" ht="18" customHeight="1" x14ac:dyDescent="0.3"/>
    <row r="577" ht="18" customHeight="1" x14ac:dyDescent="0.3"/>
    <row r="578" ht="18" customHeight="1" x14ac:dyDescent="0.3"/>
    <row r="579" ht="18" customHeight="1" x14ac:dyDescent="0.3"/>
    <row r="580" ht="18" customHeight="1" x14ac:dyDescent="0.3"/>
    <row r="581" ht="18" customHeight="1" x14ac:dyDescent="0.3"/>
    <row r="582" ht="18" customHeight="1" x14ac:dyDescent="0.3"/>
    <row r="583" ht="18" customHeight="1" x14ac:dyDescent="0.3"/>
    <row r="584" ht="18" customHeight="1" x14ac:dyDescent="0.3"/>
    <row r="585" ht="18" customHeight="1" x14ac:dyDescent="0.3"/>
    <row r="586" ht="18" customHeight="1" x14ac:dyDescent="0.3"/>
    <row r="587" ht="18" customHeight="1" x14ac:dyDescent="0.3"/>
    <row r="588" ht="18" customHeight="1" x14ac:dyDescent="0.3"/>
    <row r="589" ht="18" customHeight="1" x14ac:dyDescent="0.3"/>
    <row r="590" ht="18" customHeight="1" x14ac:dyDescent="0.3"/>
    <row r="591" ht="18" customHeight="1" x14ac:dyDescent="0.3"/>
    <row r="592" ht="18" customHeight="1" x14ac:dyDescent="0.3"/>
    <row r="593" ht="18" customHeight="1" x14ac:dyDescent="0.3"/>
    <row r="594" ht="18" customHeight="1" x14ac:dyDescent="0.3"/>
    <row r="595" ht="18" customHeight="1" x14ac:dyDescent="0.3"/>
    <row r="596" ht="18" customHeight="1" x14ac:dyDescent="0.3"/>
    <row r="597" ht="18" customHeight="1" x14ac:dyDescent="0.3"/>
    <row r="598" ht="18" customHeight="1" x14ac:dyDescent="0.3"/>
    <row r="599" ht="18" customHeight="1" x14ac:dyDescent="0.3"/>
    <row r="600" ht="18" customHeight="1" x14ac:dyDescent="0.3"/>
    <row r="601" ht="18" customHeight="1" x14ac:dyDescent="0.3"/>
    <row r="602" ht="18" customHeight="1" x14ac:dyDescent="0.3"/>
    <row r="603" ht="18" customHeight="1" x14ac:dyDescent="0.3"/>
    <row r="604" ht="18" customHeight="1" x14ac:dyDescent="0.3"/>
    <row r="605" ht="18" customHeight="1" x14ac:dyDescent="0.3"/>
    <row r="606" ht="18" customHeight="1" x14ac:dyDescent="0.3"/>
    <row r="607" ht="18" customHeight="1" x14ac:dyDescent="0.3"/>
    <row r="608" ht="18" customHeight="1" x14ac:dyDescent="0.3"/>
    <row r="609" ht="18" customHeight="1" x14ac:dyDescent="0.3"/>
    <row r="610" ht="18" customHeight="1" x14ac:dyDescent="0.3"/>
    <row r="611" ht="18" customHeight="1" x14ac:dyDescent="0.3"/>
    <row r="612" ht="18" customHeight="1" x14ac:dyDescent="0.3"/>
    <row r="613" ht="18" customHeight="1" x14ac:dyDescent="0.3"/>
    <row r="614" ht="18" customHeight="1" x14ac:dyDescent="0.3"/>
    <row r="615" ht="18" customHeight="1" x14ac:dyDescent="0.3"/>
    <row r="616" ht="18" customHeight="1" x14ac:dyDescent="0.3"/>
    <row r="617" ht="18" customHeight="1" x14ac:dyDescent="0.3"/>
    <row r="618" ht="18" customHeight="1" x14ac:dyDescent="0.3"/>
    <row r="619" ht="18" customHeight="1" x14ac:dyDescent="0.3"/>
    <row r="620" ht="18" customHeight="1" x14ac:dyDescent="0.3"/>
    <row r="621" ht="18" customHeight="1" x14ac:dyDescent="0.3"/>
    <row r="622" ht="18" customHeight="1" x14ac:dyDescent="0.3"/>
    <row r="623" ht="18" customHeight="1" x14ac:dyDescent="0.3"/>
    <row r="624" ht="18" customHeight="1" x14ac:dyDescent="0.3"/>
    <row r="625" ht="18" customHeight="1" x14ac:dyDescent="0.3"/>
    <row r="626" ht="18" customHeight="1" x14ac:dyDescent="0.3"/>
    <row r="627" ht="18" customHeight="1" x14ac:dyDescent="0.3"/>
    <row r="628" ht="18" customHeight="1" x14ac:dyDescent="0.3"/>
    <row r="629" ht="18" customHeight="1" x14ac:dyDescent="0.3"/>
    <row r="630" ht="18" customHeight="1" x14ac:dyDescent="0.3"/>
    <row r="631" ht="18" customHeight="1" x14ac:dyDescent="0.3"/>
    <row r="632" ht="18" customHeight="1" x14ac:dyDescent="0.3"/>
    <row r="633" ht="18" customHeight="1" x14ac:dyDescent="0.3"/>
    <row r="634" ht="18" customHeight="1" x14ac:dyDescent="0.3"/>
    <row r="635" ht="18" customHeight="1" x14ac:dyDescent="0.3"/>
    <row r="636" ht="18" customHeight="1" x14ac:dyDescent="0.3"/>
    <row r="637" ht="18" customHeight="1" x14ac:dyDescent="0.3"/>
    <row r="638" ht="18" customHeight="1" x14ac:dyDescent="0.3"/>
    <row r="639" ht="18" customHeight="1" x14ac:dyDescent="0.3"/>
    <row r="640" ht="18" customHeight="1" x14ac:dyDescent="0.3"/>
    <row r="641" ht="18" customHeight="1" x14ac:dyDescent="0.3"/>
    <row r="642" ht="18" customHeight="1" x14ac:dyDescent="0.3"/>
    <row r="643" ht="18" customHeight="1" x14ac:dyDescent="0.3"/>
    <row r="644" ht="18" customHeight="1" x14ac:dyDescent="0.3"/>
    <row r="645" ht="18" customHeight="1" x14ac:dyDescent="0.3"/>
    <row r="646" ht="18" customHeight="1" x14ac:dyDescent="0.3"/>
    <row r="647" ht="18" customHeight="1" x14ac:dyDescent="0.3"/>
    <row r="648" ht="18" customHeight="1" x14ac:dyDescent="0.3"/>
    <row r="649" ht="18" customHeight="1" x14ac:dyDescent="0.3"/>
    <row r="650" ht="18" customHeight="1" x14ac:dyDescent="0.3"/>
    <row r="651" ht="18" customHeight="1" x14ac:dyDescent="0.3"/>
    <row r="652" ht="18" customHeight="1" x14ac:dyDescent="0.3"/>
    <row r="653" ht="18" customHeight="1" x14ac:dyDescent="0.3"/>
    <row r="654" ht="18" customHeight="1" x14ac:dyDescent="0.3"/>
    <row r="655" ht="18" customHeight="1" x14ac:dyDescent="0.3"/>
    <row r="656" ht="18" customHeight="1" x14ac:dyDescent="0.3"/>
    <row r="657" ht="18" customHeight="1" x14ac:dyDescent="0.3"/>
    <row r="658" ht="18" customHeight="1" x14ac:dyDescent="0.3"/>
    <row r="659" ht="18" customHeight="1" x14ac:dyDescent="0.3"/>
    <row r="660" ht="18" customHeight="1" x14ac:dyDescent="0.3"/>
    <row r="661" ht="18" customHeight="1" x14ac:dyDescent="0.3"/>
    <row r="662" ht="18" customHeight="1" x14ac:dyDescent="0.3"/>
    <row r="663" ht="18" customHeight="1" x14ac:dyDescent="0.3"/>
    <row r="664" ht="18" customHeight="1" x14ac:dyDescent="0.3"/>
    <row r="665" ht="18" customHeight="1" x14ac:dyDescent="0.3"/>
    <row r="666" ht="18" customHeight="1" x14ac:dyDescent="0.3"/>
    <row r="667" ht="18" customHeight="1" x14ac:dyDescent="0.3"/>
    <row r="668" ht="18" customHeight="1" x14ac:dyDescent="0.3"/>
    <row r="669" ht="18" customHeight="1" x14ac:dyDescent="0.3"/>
    <row r="670" ht="18" customHeight="1" x14ac:dyDescent="0.3"/>
    <row r="671" ht="18" customHeight="1" x14ac:dyDescent="0.3"/>
    <row r="672" ht="18" customHeight="1" x14ac:dyDescent="0.3"/>
    <row r="673" ht="18" customHeight="1" x14ac:dyDescent="0.3"/>
    <row r="674" ht="18" customHeight="1" x14ac:dyDescent="0.3"/>
    <row r="675" ht="18" customHeight="1" x14ac:dyDescent="0.3"/>
    <row r="676" ht="18" customHeight="1" x14ac:dyDescent="0.3"/>
    <row r="677" ht="18" customHeight="1" x14ac:dyDescent="0.3"/>
    <row r="678" ht="18" customHeight="1" x14ac:dyDescent="0.3"/>
    <row r="679" ht="18" customHeight="1" x14ac:dyDescent="0.3"/>
    <row r="680" ht="18" customHeight="1" x14ac:dyDescent="0.3"/>
    <row r="681" ht="18" customHeight="1" x14ac:dyDescent="0.3"/>
    <row r="682" ht="18" customHeight="1" x14ac:dyDescent="0.3"/>
    <row r="683" ht="18" customHeight="1" x14ac:dyDescent="0.3"/>
    <row r="684" ht="18" customHeight="1" x14ac:dyDescent="0.3"/>
    <row r="685" ht="18" customHeight="1" x14ac:dyDescent="0.3"/>
    <row r="686" ht="18" customHeight="1" x14ac:dyDescent="0.3"/>
    <row r="687" ht="18" customHeight="1" x14ac:dyDescent="0.3"/>
    <row r="688" ht="18" customHeight="1" x14ac:dyDescent="0.3"/>
    <row r="689" ht="18" customHeight="1" x14ac:dyDescent="0.3"/>
    <row r="690" ht="18" customHeight="1" x14ac:dyDescent="0.3"/>
    <row r="691" ht="18" customHeight="1" x14ac:dyDescent="0.3"/>
    <row r="692" ht="18" customHeight="1" x14ac:dyDescent="0.3"/>
    <row r="693" ht="18" customHeight="1" x14ac:dyDescent="0.3"/>
    <row r="694" ht="18" customHeight="1" x14ac:dyDescent="0.3"/>
    <row r="695" ht="18" customHeight="1" x14ac:dyDescent="0.3"/>
    <row r="696" ht="18" customHeight="1" x14ac:dyDescent="0.3"/>
    <row r="697" ht="18" customHeight="1" x14ac:dyDescent="0.3"/>
    <row r="698" ht="18" customHeight="1" x14ac:dyDescent="0.3"/>
    <row r="699" ht="18" customHeight="1" x14ac:dyDescent="0.3"/>
    <row r="700" ht="18" customHeight="1" x14ac:dyDescent="0.3"/>
    <row r="701" ht="18" customHeight="1" x14ac:dyDescent="0.3"/>
    <row r="702" ht="18" customHeight="1" x14ac:dyDescent="0.3"/>
    <row r="703" ht="18" customHeight="1" x14ac:dyDescent="0.3"/>
    <row r="704" ht="18" customHeight="1" x14ac:dyDescent="0.3"/>
    <row r="705" ht="18" customHeight="1" x14ac:dyDescent="0.3"/>
    <row r="706" ht="18" customHeight="1" x14ac:dyDescent="0.3"/>
    <row r="707" ht="18" customHeight="1" x14ac:dyDescent="0.3"/>
    <row r="708" ht="18" customHeight="1" x14ac:dyDescent="0.3"/>
    <row r="709" ht="18" customHeight="1" x14ac:dyDescent="0.3"/>
    <row r="710" ht="18" customHeight="1" x14ac:dyDescent="0.3"/>
    <row r="711" ht="18" customHeight="1" x14ac:dyDescent="0.3"/>
    <row r="712" ht="18" customHeight="1" x14ac:dyDescent="0.3"/>
    <row r="713" ht="18" customHeight="1" x14ac:dyDescent="0.3"/>
    <row r="714" ht="18" customHeight="1" x14ac:dyDescent="0.3"/>
    <row r="715" ht="18" customHeight="1" x14ac:dyDescent="0.3"/>
    <row r="716" ht="18" customHeight="1" x14ac:dyDescent="0.3"/>
    <row r="717" ht="18" customHeight="1" x14ac:dyDescent="0.3"/>
    <row r="718" ht="18" customHeight="1" x14ac:dyDescent="0.3"/>
    <row r="719" ht="18" customHeight="1" x14ac:dyDescent="0.3"/>
    <row r="720" ht="18" customHeight="1" x14ac:dyDescent="0.3"/>
    <row r="721" ht="18" customHeight="1" x14ac:dyDescent="0.3"/>
    <row r="722" ht="18" customHeight="1" x14ac:dyDescent="0.3"/>
    <row r="723" ht="18" customHeight="1" x14ac:dyDescent="0.3"/>
    <row r="724" ht="18" customHeight="1" x14ac:dyDescent="0.3"/>
    <row r="725" ht="18" customHeight="1" x14ac:dyDescent="0.3"/>
    <row r="726" ht="18" customHeight="1" x14ac:dyDescent="0.3"/>
    <row r="727" ht="18" customHeight="1" x14ac:dyDescent="0.3"/>
    <row r="728" ht="18" customHeight="1" x14ac:dyDescent="0.3"/>
    <row r="729" ht="18" customHeight="1" x14ac:dyDescent="0.3"/>
    <row r="730" ht="18" customHeight="1" x14ac:dyDescent="0.3"/>
    <row r="731" ht="18" customHeight="1" x14ac:dyDescent="0.3"/>
    <row r="732" ht="18" customHeight="1" x14ac:dyDescent="0.3"/>
    <row r="733" ht="18" customHeight="1" x14ac:dyDescent="0.3"/>
    <row r="734" ht="18" customHeight="1" x14ac:dyDescent="0.3"/>
    <row r="735" ht="18" customHeight="1" x14ac:dyDescent="0.3"/>
    <row r="736" ht="18" customHeight="1" x14ac:dyDescent="0.3"/>
    <row r="737" ht="18" customHeight="1" x14ac:dyDescent="0.3"/>
    <row r="738" ht="18" customHeight="1" x14ac:dyDescent="0.3"/>
    <row r="739" ht="18" customHeight="1" x14ac:dyDescent="0.3"/>
    <row r="740" ht="18" customHeight="1" x14ac:dyDescent="0.3"/>
    <row r="741" ht="18" customHeight="1" x14ac:dyDescent="0.3"/>
    <row r="742" ht="18" customHeight="1" x14ac:dyDescent="0.3"/>
    <row r="743" ht="18" customHeight="1" x14ac:dyDescent="0.3"/>
    <row r="744" ht="18" customHeight="1" x14ac:dyDescent="0.3"/>
    <row r="745" ht="18" customHeight="1" x14ac:dyDescent="0.3"/>
    <row r="746" ht="18" customHeight="1" x14ac:dyDescent="0.3"/>
    <row r="747" ht="18" customHeight="1" x14ac:dyDescent="0.3"/>
    <row r="748" ht="18" customHeight="1" x14ac:dyDescent="0.3"/>
    <row r="749" ht="18" customHeight="1" x14ac:dyDescent="0.3"/>
    <row r="750" ht="18" customHeight="1" x14ac:dyDescent="0.3"/>
    <row r="751" ht="18" customHeight="1" x14ac:dyDescent="0.3"/>
    <row r="752" ht="18" customHeight="1" x14ac:dyDescent="0.3"/>
    <row r="753" ht="18" customHeight="1" x14ac:dyDescent="0.3"/>
    <row r="754" ht="18" customHeight="1" x14ac:dyDescent="0.3"/>
    <row r="755" ht="18" customHeight="1" x14ac:dyDescent="0.3"/>
    <row r="756" ht="18" customHeight="1" x14ac:dyDescent="0.3"/>
    <row r="757" ht="18" customHeight="1" x14ac:dyDescent="0.3"/>
    <row r="758" ht="18" customHeight="1" x14ac:dyDescent="0.3"/>
    <row r="759" ht="18" customHeight="1" x14ac:dyDescent="0.3"/>
    <row r="760" ht="18" customHeight="1" x14ac:dyDescent="0.3"/>
    <row r="761" ht="18" customHeight="1" x14ac:dyDescent="0.3"/>
    <row r="762" ht="18" customHeight="1" x14ac:dyDescent="0.3"/>
    <row r="763" ht="18" customHeight="1" x14ac:dyDescent="0.3"/>
    <row r="764" ht="18" customHeight="1" x14ac:dyDescent="0.3"/>
    <row r="765" ht="18" customHeight="1" x14ac:dyDescent="0.3"/>
    <row r="766" ht="18" customHeight="1" x14ac:dyDescent="0.3"/>
    <row r="767" ht="18" customHeight="1" x14ac:dyDescent="0.3"/>
    <row r="768" ht="18" customHeight="1" x14ac:dyDescent="0.3"/>
    <row r="769" ht="18" customHeight="1" x14ac:dyDescent="0.3"/>
    <row r="770" ht="18" customHeight="1" x14ac:dyDescent="0.3"/>
    <row r="771" ht="18" customHeight="1" x14ac:dyDescent="0.3"/>
    <row r="772" ht="18" customHeight="1" x14ac:dyDescent="0.3"/>
    <row r="773" ht="18" customHeight="1" x14ac:dyDescent="0.3"/>
    <row r="774" ht="18" customHeight="1" x14ac:dyDescent="0.3"/>
    <row r="775" ht="18" customHeight="1" x14ac:dyDescent="0.3"/>
    <row r="776" ht="18" customHeight="1" x14ac:dyDescent="0.3"/>
    <row r="777" ht="18" customHeight="1" x14ac:dyDescent="0.3"/>
    <row r="778" ht="18" customHeight="1" x14ac:dyDescent="0.3"/>
    <row r="779" ht="18" customHeight="1" x14ac:dyDescent="0.3"/>
    <row r="780" ht="18" customHeight="1" x14ac:dyDescent="0.3"/>
    <row r="781" ht="18" customHeight="1" x14ac:dyDescent="0.3"/>
    <row r="782" ht="18" customHeight="1" x14ac:dyDescent="0.3"/>
    <row r="783" ht="18" customHeight="1" x14ac:dyDescent="0.3"/>
    <row r="784" ht="18" customHeight="1" x14ac:dyDescent="0.3"/>
    <row r="785" ht="18" customHeight="1" x14ac:dyDescent="0.3"/>
    <row r="786" ht="18" customHeight="1" x14ac:dyDescent="0.3"/>
    <row r="787" ht="18" customHeight="1" x14ac:dyDescent="0.3"/>
    <row r="788" ht="18" customHeight="1" x14ac:dyDescent="0.3"/>
    <row r="789" ht="18" customHeight="1" x14ac:dyDescent="0.3"/>
    <row r="790" ht="18" customHeight="1" x14ac:dyDescent="0.3"/>
    <row r="791" ht="18" customHeight="1" x14ac:dyDescent="0.3"/>
    <row r="792" ht="18" customHeight="1" x14ac:dyDescent="0.3"/>
    <row r="793" ht="18" customHeight="1" x14ac:dyDescent="0.3"/>
    <row r="794" ht="18" customHeight="1" x14ac:dyDescent="0.3"/>
    <row r="795" ht="18" customHeight="1" x14ac:dyDescent="0.3"/>
    <row r="796" ht="18" customHeight="1" x14ac:dyDescent="0.3"/>
    <row r="797" ht="18" customHeight="1" x14ac:dyDescent="0.3"/>
    <row r="798" ht="18" customHeight="1" x14ac:dyDescent="0.3"/>
    <row r="799" ht="18" customHeight="1" x14ac:dyDescent="0.3"/>
    <row r="800" ht="18" customHeight="1" x14ac:dyDescent="0.3"/>
    <row r="801" ht="18" customHeight="1" x14ac:dyDescent="0.3"/>
    <row r="802" ht="18" customHeight="1" x14ac:dyDescent="0.3"/>
    <row r="803" ht="18" customHeight="1" x14ac:dyDescent="0.3"/>
    <row r="804" ht="18" customHeight="1" x14ac:dyDescent="0.3"/>
    <row r="805" ht="18" customHeight="1" x14ac:dyDescent="0.3"/>
    <row r="806" ht="18" customHeight="1" x14ac:dyDescent="0.3"/>
    <row r="807" ht="18" customHeight="1" x14ac:dyDescent="0.3"/>
    <row r="808" ht="18" customHeight="1" x14ac:dyDescent="0.3"/>
    <row r="809" ht="18" customHeight="1" x14ac:dyDescent="0.3"/>
    <row r="810" ht="18" customHeight="1" x14ac:dyDescent="0.3"/>
    <row r="811" ht="18" customHeight="1" x14ac:dyDescent="0.3"/>
    <row r="812" ht="18" customHeight="1" x14ac:dyDescent="0.3"/>
    <row r="813" ht="18" customHeight="1" x14ac:dyDescent="0.3"/>
    <row r="814" ht="18" customHeight="1" x14ac:dyDescent="0.3"/>
    <row r="815" ht="18" customHeight="1" x14ac:dyDescent="0.3"/>
    <row r="816" ht="18" customHeight="1" x14ac:dyDescent="0.3"/>
    <row r="817" ht="18" customHeight="1" x14ac:dyDescent="0.3"/>
    <row r="818" ht="18" customHeight="1" x14ac:dyDescent="0.3"/>
    <row r="819" ht="18" customHeight="1" x14ac:dyDescent="0.3"/>
    <row r="820" ht="18" customHeight="1" x14ac:dyDescent="0.3"/>
    <row r="821" ht="18" customHeight="1" x14ac:dyDescent="0.3"/>
    <row r="822" ht="18" customHeight="1" x14ac:dyDescent="0.3"/>
    <row r="823" ht="18" customHeight="1" x14ac:dyDescent="0.3"/>
    <row r="824" ht="18" customHeight="1" x14ac:dyDescent="0.3"/>
    <row r="825" ht="18" customHeight="1" x14ac:dyDescent="0.3"/>
    <row r="826" ht="18" customHeight="1" x14ac:dyDescent="0.3"/>
    <row r="827" ht="18" customHeight="1" x14ac:dyDescent="0.3"/>
    <row r="828" ht="18" customHeight="1" x14ac:dyDescent="0.3"/>
    <row r="829" ht="18" customHeight="1" x14ac:dyDescent="0.3"/>
    <row r="830" ht="18" customHeight="1" x14ac:dyDescent="0.3"/>
    <row r="831" ht="18" customHeight="1" x14ac:dyDescent="0.3"/>
    <row r="832" ht="18" customHeight="1" x14ac:dyDescent="0.3"/>
    <row r="833" ht="18" customHeight="1" x14ac:dyDescent="0.3"/>
    <row r="834" ht="18" customHeight="1" x14ac:dyDescent="0.3"/>
    <row r="835" ht="18" customHeight="1" x14ac:dyDescent="0.3"/>
    <row r="836" ht="18" customHeight="1" x14ac:dyDescent="0.3"/>
    <row r="837" ht="18" customHeight="1" x14ac:dyDescent="0.3"/>
    <row r="838" ht="18" customHeight="1" x14ac:dyDescent="0.3"/>
    <row r="839" ht="18" customHeight="1" x14ac:dyDescent="0.3"/>
    <row r="840" ht="18" customHeight="1" x14ac:dyDescent="0.3"/>
    <row r="841" ht="18" customHeight="1" x14ac:dyDescent="0.3"/>
    <row r="842" ht="18" customHeight="1" x14ac:dyDescent="0.3"/>
    <row r="843" ht="18" customHeight="1" x14ac:dyDescent="0.3"/>
    <row r="844" ht="18" customHeight="1" x14ac:dyDescent="0.3"/>
    <row r="845" ht="18" customHeight="1" x14ac:dyDescent="0.3"/>
    <row r="846" ht="18" customHeight="1" x14ac:dyDescent="0.3"/>
    <row r="847" ht="18" customHeight="1" x14ac:dyDescent="0.3"/>
    <row r="848" ht="18" customHeight="1" x14ac:dyDescent="0.3"/>
    <row r="849" ht="18" customHeight="1" x14ac:dyDescent="0.3"/>
    <row r="850" ht="18" customHeight="1" x14ac:dyDescent="0.3"/>
    <row r="851" ht="18" customHeight="1" x14ac:dyDescent="0.3"/>
    <row r="852" ht="18" customHeight="1" x14ac:dyDescent="0.3"/>
    <row r="853" ht="18" customHeight="1" x14ac:dyDescent="0.3"/>
    <row r="854" ht="18" customHeight="1" x14ac:dyDescent="0.3"/>
    <row r="855" ht="18" customHeight="1" x14ac:dyDescent="0.3"/>
    <row r="856" ht="18" customHeight="1" x14ac:dyDescent="0.3"/>
    <row r="857" ht="18" customHeight="1" x14ac:dyDescent="0.3"/>
    <row r="858" ht="18" customHeight="1" x14ac:dyDescent="0.3"/>
    <row r="859" ht="18" customHeight="1" x14ac:dyDescent="0.3"/>
    <row r="860" ht="18" customHeight="1" x14ac:dyDescent="0.3"/>
    <row r="861" ht="18" customHeight="1" x14ac:dyDescent="0.3"/>
    <row r="862" ht="18" customHeight="1" x14ac:dyDescent="0.3"/>
    <row r="863" ht="18" customHeight="1" x14ac:dyDescent="0.3"/>
    <row r="864" ht="18" customHeight="1" x14ac:dyDescent="0.3"/>
    <row r="865" ht="18" customHeight="1" x14ac:dyDescent="0.3"/>
    <row r="866" ht="18" customHeight="1" x14ac:dyDescent="0.3"/>
    <row r="867" ht="18" customHeight="1" x14ac:dyDescent="0.3"/>
    <row r="868" ht="18" customHeight="1" x14ac:dyDescent="0.3"/>
    <row r="869" ht="18" customHeight="1" x14ac:dyDescent="0.3"/>
    <row r="870" ht="18" customHeight="1" x14ac:dyDescent="0.3"/>
    <row r="871" ht="18" customHeight="1" x14ac:dyDescent="0.3"/>
    <row r="872" ht="18" customHeight="1" x14ac:dyDescent="0.3"/>
    <row r="873" ht="18" customHeight="1" x14ac:dyDescent="0.3"/>
    <row r="874" ht="18" customHeight="1" x14ac:dyDescent="0.3"/>
    <row r="875" ht="18" customHeight="1" x14ac:dyDescent="0.3"/>
    <row r="876" ht="18" customHeight="1" x14ac:dyDescent="0.3"/>
    <row r="877" ht="18" customHeight="1" x14ac:dyDescent="0.3"/>
    <row r="878" ht="18" customHeight="1" x14ac:dyDescent="0.3"/>
    <row r="879" ht="18" customHeight="1" x14ac:dyDescent="0.3"/>
    <row r="880" ht="18" customHeight="1" x14ac:dyDescent="0.3"/>
    <row r="881" ht="18" customHeight="1" x14ac:dyDescent="0.3"/>
    <row r="882" ht="18" customHeight="1" x14ac:dyDescent="0.3"/>
    <row r="883" ht="18" customHeight="1" x14ac:dyDescent="0.3"/>
    <row r="884" ht="18" customHeight="1" x14ac:dyDescent="0.3"/>
    <row r="885" ht="18" customHeight="1" x14ac:dyDescent="0.3"/>
    <row r="886" ht="18" customHeight="1" x14ac:dyDescent="0.3"/>
    <row r="887" ht="18" customHeight="1" x14ac:dyDescent="0.3"/>
    <row r="888" ht="18" customHeight="1" x14ac:dyDescent="0.3"/>
    <row r="889" ht="18" customHeight="1" x14ac:dyDescent="0.3"/>
    <row r="890" ht="18" customHeight="1" x14ac:dyDescent="0.3"/>
    <row r="891" ht="18" customHeight="1" x14ac:dyDescent="0.3"/>
    <row r="892" ht="18" customHeight="1" x14ac:dyDescent="0.3"/>
    <row r="893" ht="18" customHeight="1" x14ac:dyDescent="0.3"/>
    <row r="894" ht="18" customHeight="1" x14ac:dyDescent="0.3"/>
    <row r="895" ht="18" customHeight="1" x14ac:dyDescent="0.3"/>
    <row r="896" ht="18" customHeight="1" x14ac:dyDescent="0.3"/>
    <row r="897" ht="18" customHeight="1" x14ac:dyDescent="0.3"/>
    <row r="898" ht="18" customHeight="1" x14ac:dyDescent="0.3"/>
    <row r="899" ht="18" customHeight="1" x14ac:dyDescent="0.3"/>
    <row r="900" ht="18" customHeight="1" x14ac:dyDescent="0.3"/>
    <row r="901" ht="18" customHeight="1" x14ac:dyDescent="0.3"/>
    <row r="902" ht="18" customHeight="1" x14ac:dyDescent="0.3"/>
    <row r="903" ht="18" customHeight="1" x14ac:dyDescent="0.3"/>
    <row r="904" ht="18" customHeight="1" x14ac:dyDescent="0.3"/>
    <row r="905" ht="18" customHeight="1" x14ac:dyDescent="0.3"/>
    <row r="906" ht="18" customHeight="1" x14ac:dyDescent="0.3"/>
    <row r="907" ht="18" customHeight="1" x14ac:dyDescent="0.3"/>
    <row r="908" ht="18" customHeight="1" x14ac:dyDescent="0.3"/>
    <row r="909" ht="18" customHeight="1" x14ac:dyDescent="0.3"/>
    <row r="910" ht="18" customHeight="1" x14ac:dyDescent="0.3"/>
    <row r="911" ht="18" customHeight="1" x14ac:dyDescent="0.3"/>
    <row r="912" ht="18" customHeight="1" x14ac:dyDescent="0.3"/>
    <row r="913" ht="18" customHeight="1" x14ac:dyDescent="0.3"/>
    <row r="914" ht="18" customHeight="1" x14ac:dyDescent="0.3"/>
    <row r="915" ht="18" customHeight="1" x14ac:dyDescent="0.3"/>
    <row r="916" ht="18" customHeight="1" x14ac:dyDescent="0.3"/>
    <row r="917" ht="18" customHeight="1" x14ac:dyDescent="0.3"/>
    <row r="918" ht="18" customHeight="1" x14ac:dyDescent="0.3"/>
    <row r="919" ht="18" customHeight="1" x14ac:dyDescent="0.3"/>
    <row r="920" ht="18" customHeight="1" x14ac:dyDescent="0.3"/>
    <row r="921" ht="18" customHeight="1" x14ac:dyDescent="0.3"/>
    <row r="922" ht="18" customHeight="1" x14ac:dyDescent="0.3"/>
    <row r="923" ht="18" customHeight="1" x14ac:dyDescent="0.3"/>
    <row r="924" ht="18" customHeight="1" x14ac:dyDescent="0.3"/>
    <row r="925" ht="18" customHeight="1" x14ac:dyDescent="0.3"/>
    <row r="926" ht="18" customHeight="1" x14ac:dyDescent="0.3"/>
    <row r="927" ht="18" customHeight="1" x14ac:dyDescent="0.3"/>
    <row r="928" ht="18" customHeight="1" x14ac:dyDescent="0.3"/>
    <row r="929" ht="18" customHeight="1" x14ac:dyDescent="0.3"/>
    <row r="930" ht="18" customHeight="1" x14ac:dyDescent="0.3"/>
    <row r="931" ht="18" customHeight="1" x14ac:dyDescent="0.3"/>
    <row r="932" ht="18" customHeight="1" x14ac:dyDescent="0.3"/>
    <row r="933" ht="18" customHeight="1" x14ac:dyDescent="0.3"/>
    <row r="934" ht="18" customHeight="1" x14ac:dyDescent="0.3"/>
    <row r="935" ht="18" customHeight="1" x14ac:dyDescent="0.3"/>
    <row r="936" ht="18" customHeight="1" x14ac:dyDescent="0.3"/>
    <row r="937" ht="18" customHeight="1" x14ac:dyDescent="0.3"/>
    <row r="938" ht="18" customHeight="1" x14ac:dyDescent="0.3"/>
    <row r="939" ht="18" customHeight="1" x14ac:dyDescent="0.3"/>
    <row r="940" ht="18" customHeight="1" x14ac:dyDescent="0.3"/>
    <row r="941" ht="18" customHeight="1" x14ac:dyDescent="0.3"/>
    <row r="942" ht="18" customHeight="1" x14ac:dyDescent="0.3"/>
    <row r="943" ht="18" customHeight="1" x14ac:dyDescent="0.3"/>
    <row r="944" ht="18" customHeight="1" x14ac:dyDescent="0.3"/>
    <row r="945" ht="18" customHeight="1" x14ac:dyDescent="0.3"/>
    <row r="946" ht="18" customHeight="1" x14ac:dyDescent="0.3"/>
    <row r="947" ht="18" customHeight="1" x14ac:dyDescent="0.3"/>
    <row r="948" ht="18" customHeight="1" x14ac:dyDescent="0.3"/>
    <row r="949" ht="18" customHeight="1" x14ac:dyDescent="0.3"/>
    <row r="950" ht="18" customHeight="1" x14ac:dyDescent="0.3"/>
    <row r="951" ht="18" customHeight="1" x14ac:dyDescent="0.3"/>
    <row r="952" ht="18" customHeight="1" x14ac:dyDescent="0.3"/>
    <row r="953" ht="18" customHeight="1" x14ac:dyDescent="0.3"/>
    <row r="954" ht="18" customHeight="1" x14ac:dyDescent="0.3"/>
    <row r="955" ht="18" customHeight="1" x14ac:dyDescent="0.3"/>
    <row r="956" ht="18" customHeight="1" x14ac:dyDescent="0.3"/>
    <row r="957" ht="18" customHeight="1" x14ac:dyDescent="0.3"/>
    <row r="958" ht="18" customHeight="1" x14ac:dyDescent="0.3"/>
    <row r="959" ht="18" customHeight="1" x14ac:dyDescent="0.3"/>
    <row r="960" ht="18" customHeight="1" x14ac:dyDescent="0.3"/>
    <row r="961" ht="18" customHeight="1" x14ac:dyDescent="0.3"/>
    <row r="962" ht="18" customHeight="1" x14ac:dyDescent="0.3"/>
    <row r="963" ht="18" customHeight="1" x14ac:dyDescent="0.3"/>
    <row r="964" ht="18" customHeight="1" x14ac:dyDescent="0.3"/>
    <row r="965" ht="18" customHeight="1" x14ac:dyDescent="0.3"/>
    <row r="966" ht="18" customHeight="1" x14ac:dyDescent="0.3"/>
    <row r="967" ht="18" customHeight="1" x14ac:dyDescent="0.3"/>
    <row r="968" ht="18" customHeight="1" x14ac:dyDescent="0.3"/>
    <row r="969" ht="18" customHeight="1" x14ac:dyDescent="0.3"/>
    <row r="970" ht="18" customHeight="1" x14ac:dyDescent="0.3"/>
    <row r="971" ht="18" customHeight="1" x14ac:dyDescent="0.3"/>
    <row r="972" ht="18" customHeight="1" x14ac:dyDescent="0.3"/>
    <row r="973" ht="18" customHeight="1" x14ac:dyDescent="0.3"/>
    <row r="974" ht="18" customHeight="1" x14ac:dyDescent="0.3"/>
    <row r="975" ht="18" customHeight="1" x14ac:dyDescent="0.3"/>
    <row r="976" ht="18" customHeight="1" x14ac:dyDescent="0.3"/>
    <row r="977" ht="18" customHeight="1" x14ac:dyDescent="0.3"/>
    <row r="978" ht="18" customHeight="1" x14ac:dyDescent="0.3"/>
    <row r="979" ht="18" customHeight="1" x14ac:dyDescent="0.3"/>
    <row r="980" ht="18" customHeight="1" x14ac:dyDescent="0.3"/>
    <row r="981" ht="18" customHeight="1" x14ac:dyDescent="0.3"/>
    <row r="982" ht="18" customHeight="1" x14ac:dyDescent="0.3"/>
    <row r="983" ht="18" customHeight="1" x14ac:dyDescent="0.3"/>
    <row r="984" ht="18" customHeight="1" x14ac:dyDescent="0.3"/>
    <row r="985" ht="18" customHeight="1" x14ac:dyDescent="0.3"/>
    <row r="986" ht="18" customHeight="1" x14ac:dyDescent="0.3"/>
    <row r="987" ht="18" customHeight="1" x14ac:dyDescent="0.3"/>
    <row r="988" ht="18" customHeight="1" x14ac:dyDescent="0.3"/>
    <row r="989" ht="18" customHeight="1" x14ac:dyDescent="0.3"/>
    <row r="990" ht="18" customHeight="1" x14ac:dyDescent="0.3"/>
    <row r="991" ht="18" customHeight="1" x14ac:dyDescent="0.3"/>
    <row r="992" ht="18" customHeight="1" x14ac:dyDescent="0.3"/>
    <row r="993" ht="18" customHeight="1" x14ac:dyDescent="0.3"/>
    <row r="994" ht="18" customHeight="1" x14ac:dyDescent="0.3"/>
    <row r="995" ht="18" customHeight="1" x14ac:dyDescent="0.3"/>
    <row r="996" ht="18" customHeight="1" x14ac:dyDescent="0.3"/>
    <row r="997" ht="18" customHeight="1" x14ac:dyDescent="0.3"/>
    <row r="998" ht="18" customHeight="1" x14ac:dyDescent="0.3"/>
    <row r="999" ht="18" customHeight="1" x14ac:dyDescent="0.3"/>
    <row r="1000" ht="18" customHeight="1" x14ac:dyDescent="0.3"/>
  </sheetData>
  <phoneticPr fontId="3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4"/>
  <sheetViews>
    <sheetView showGridLines="0" workbookViewId="0">
      <selection activeCell="D14" sqref="D14"/>
    </sheetView>
  </sheetViews>
  <sheetFormatPr defaultColWidth="12.6640625" defaultRowHeight="15" customHeight="1" x14ac:dyDescent="0.3"/>
  <cols>
    <col min="1" max="1" width="3" customWidth="1"/>
    <col min="2" max="3" width="20.77734375" customWidth="1"/>
    <col min="4" max="4" width="28.21875" customWidth="1"/>
    <col min="5" max="5" width="17.6640625" customWidth="1"/>
    <col min="6" max="6" width="25.6640625" customWidth="1"/>
    <col min="7" max="7" width="1.88671875" customWidth="1"/>
    <col min="8" max="27" width="7.6640625" customWidth="1"/>
  </cols>
  <sheetData>
    <row r="1" spans="1:8" ht="15" customHeight="1" x14ac:dyDescent="0.3">
      <c r="A1" s="3"/>
      <c r="B1" s="3"/>
      <c r="C1" s="3"/>
      <c r="D1" s="3"/>
      <c r="E1" s="3"/>
      <c r="F1" s="3"/>
      <c r="G1" s="3"/>
      <c r="H1" s="3"/>
    </row>
    <row r="2" spans="1:8" ht="15" customHeight="1" x14ac:dyDescent="0.3">
      <c r="A2" s="3"/>
      <c r="B2" s="3"/>
      <c r="C2" s="3"/>
      <c r="D2" s="3"/>
      <c r="E2" s="3"/>
      <c r="F2" s="3"/>
      <c r="G2" s="3"/>
      <c r="H2" s="3"/>
    </row>
    <row r="3" spans="1:8" ht="15" customHeight="1" x14ac:dyDescent="0.3">
      <c r="A3" s="3"/>
      <c r="B3" s="3"/>
      <c r="C3" s="3"/>
      <c r="D3" s="3"/>
      <c r="E3" s="3"/>
      <c r="F3" s="3"/>
      <c r="G3" s="3"/>
      <c r="H3" s="3"/>
    </row>
    <row r="4" spans="1:8" ht="15" customHeight="1" x14ac:dyDescent="0.3">
      <c r="A4" s="3"/>
      <c r="B4" s="3"/>
      <c r="C4" s="3"/>
      <c r="D4" s="3"/>
      <c r="E4" s="3"/>
      <c r="F4" s="3"/>
      <c r="G4" s="3"/>
      <c r="H4" s="3"/>
    </row>
    <row r="5" spans="1:8" ht="18" customHeight="1" x14ac:dyDescent="0.3">
      <c r="A5" s="3"/>
      <c r="B5" s="3"/>
      <c r="C5" s="3"/>
      <c r="D5" s="3"/>
      <c r="E5" s="3"/>
      <c r="F5" s="3"/>
      <c r="G5" s="3"/>
      <c r="H5" s="3"/>
    </row>
    <row r="6" spans="1:8" ht="27.6" customHeight="1" x14ac:dyDescent="0.3">
      <c r="A6" s="3"/>
      <c r="B6" s="11"/>
      <c r="C6" s="13" t="s">
        <v>72</v>
      </c>
      <c r="D6" s="41" t="s">
        <v>79</v>
      </c>
      <c r="E6" s="41" t="s">
        <v>1</v>
      </c>
      <c r="F6" s="41" t="s">
        <v>74</v>
      </c>
      <c r="G6" s="13"/>
      <c r="H6" s="3"/>
    </row>
    <row r="7" spans="1:8" ht="18" customHeight="1" x14ac:dyDescent="0.3">
      <c r="A7" s="3"/>
      <c r="B7" s="11" t="s">
        <v>4</v>
      </c>
      <c r="C7" s="13" t="s">
        <v>73</v>
      </c>
      <c r="D7" s="13" t="s">
        <v>5</v>
      </c>
      <c r="E7" s="13" t="s">
        <v>7</v>
      </c>
      <c r="F7" s="13" t="s">
        <v>9</v>
      </c>
      <c r="G7" s="13"/>
      <c r="H7" s="3"/>
    </row>
    <row r="8" spans="1:8" ht="18" customHeight="1" x14ac:dyDescent="0.3">
      <c r="A8" s="3"/>
      <c r="B8" s="27" t="s">
        <v>13</v>
      </c>
      <c r="C8" s="27"/>
      <c r="D8" s="27"/>
      <c r="E8" s="27">
        <v>50</v>
      </c>
      <c r="F8" s="27"/>
      <c r="G8" s="27"/>
      <c r="H8" s="3"/>
    </row>
    <row r="9" spans="1:8" ht="18" customHeight="1" x14ac:dyDescent="0.3">
      <c r="A9" s="3"/>
      <c r="B9" s="11" t="s">
        <v>18</v>
      </c>
      <c r="C9" s="11"/>
      <c r="D9" s="11"/>
      <c r="E9" s="11">
        <v>100</v>
      </c>
      <c r="F9" s="11"/>
      <c r="G9" s="11"/>
      <c r="H9" s="3"/>
    </row>
    <row r="10" spans="1:8" ht="18" customHeight="1" x14ac:dyDescent="0.3">
      <c r="A10" s="3"/>
      <c r="B10" s="11" t="s">
        <v>23</v>
      </c>
      <c r="C10" s="11"/>
      <c r="D10" s="11"/>
      <c r="E10" s="11">
        <v>200</v>
      </c>
      <c r="F10" s="11"/>
      <c r="G10" s="11"/>
      <c r="H10" s="3"/>
    </row>
    <row r="11" spans="1:8" ht="18" customHeight="1" x14ac:dyDescent="0.3">
      <c r="A11" s="3"/>
      <c r="B11" s="11"/>
      <c r="C11" s="11"/>
      <c r="D11" s="11"/>
      <c r="E11" s="11"/>
      <c r="F11" s="11"/>
      <c r="G11" s="11"/>
      <c r="H11" s="3"/>
    </row>
    <row r="12" spans="1:8" ht="18" customHeight="1" x14ac:dyDescent="0.3">
      <c r="A12" s="3"/>
      <c r="B12" s="3"/>
      <c r="C12" s="3"/>
      <c r="D12" s="3"/>
      <c r="E12" s="3"/>
      <c r="F12" s="3"/>
      <c r="G12" s="3"/>
      <c r="H12" s="3"/>
    </row>
    <row r="13" spans="1:8" ht="18" customHeight="1" x14ac:dyDescent="0.3">
      <c r="A13" s="3"/>
      <c r="B13" s="3"/>
      <c r="C13" s="3"/>
      <c r="D13" s="3"/>
      <c r="E13" s="3"/>
      <c r="F13" s="3"/>
      <c r="G13" s="3"/>
      <c r="H13" s="3"/>
    </row>
    <row r="14" spans="1:8" ht="18" customHeight="1" x14ac:dyDescent="0.3">
      <c r="A14" s="3"/>
      <c r="B14" s="3"/>
      <c r="C14" s="3"/>
      <c r="D14" s="3"/>
      <c r="E14" s="3"/>
      <c r="F14" s="3"/>
      <c r="G14" s="3"/>
      <c r="H14" s="3"/>
    </row>
    <row r="15" spans="1:8" ht="18" customHeight="1" x14ac:dyDescent="0.3"/>
    <row r="16" spans="1:8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  <row r="549" ht="18" customHeight="1" x14ac:dyDescent="0.3"/>
    <row r="550" ht="18" customHeight="1" x14ac:dyDescent="0.3"/>
    <row r="551" ht="18" customHeight="1" x14ac:dyDescent="0.3"/>
    <row r="552" ht="18" customHeight="1" x14ac:dyDescent="0.3"/>
    <row r="553" ht="18" customHeight="1" x14ac:dyDescent="0.3"/>
    <row r="554" ht="18" customHeight="1" x14ac:dyDescent="0.3"/>
    <row r="555" ht="18" customHeight="1" x14ac:dyDescent="0.3"/>
    <row r="556" ht="18" customHeight="1" x14ac:dyDescent="0.3"/>
    <row r="557" ht="18" customHeight="1" x14ac:dyDescent="0.3"/>
    <row r="558" ht="18" customHeight="1" x14ac:dyDescent="0.3"/>
    <row r="559" ht="18" customHeight="1" x14ac:dyDescent="0.3"/>
    <row r="560" ht="18" customHeight="1" x14ac:dyDescent="0.3"/>
    <row r="561" ht="18" customHeight="1" x14ac:dyDescent="0.3"/>
    <row r="562" ht="18" customHeight="1" x14ac:dyDescent="0.3"/>
    <row r="563" ht="18" customHeight="1" x14ac:dyDescent="0.3"/>
    <row r="564" ht="18" customHeight="1" x14ac:dyDescent="0.3"/>
    <row r="565" ht="18" customHeight="1" x14ac:dyDescent="0.3"/>
    <row r="566" ht="18" customHeight="1" x14ac:dyDescent="0.3"/>
    <row r="567" ht="18" customHeight="1" x14ac:dyDescent="0.3"/>
    <row r="568" ht="18" customHeight="1" x14ac:dyDescent="0.3"/>
    <row r="569" ht="18" customHeight="1" x14ac:dyDescent="0.3"/>
    <row r="570" ht="18" customHeight="1" x14ac:dyDescent="0.3"/>
    <row r="571" ht="18" customHeight="1" x14ac:dyDescent="0.3"/>
    <row r="572" ht="18" customHeight="1" x14ac:dyDescent="0.3"/>
    <row r="573" ht="18" customHeight="1" x14ac:dyDescent="0.3"/>
    <row r="574" ht="18" customHeight="1" x14ac:dyDescent="0.3"/>
    <row r="575" ht="18" customHeight="1" x14ac:dyDescent="0.3"/>
    <row r="576" ht="18" customHeight="1" x14ac:dyDescent="0.3"/>
    <row r="577" ht="18" customHeight="1" x14ac:dyDescent="0.3"/>
    <row r="578" ht="18" customHeight="1" x14ac:dyDescent="0.3"/>
    <row r="579" ht="18" customHeight="1" x14ac:dyDescent="0.3"/>
    <row r="580" ht="18" customHeight="1" x14ac:dyDescent="0.3"/>
    <row r="581" ht="18" customHeight="1" x14ac:dyDescent="0.3"/>
    <row r="582" ht="18" customHeight="1" x14ac:dyDescent="0.3"/>
    <row r="583" ht="18" customHeight="1" x14ac:dyDescent="0.3"/>
    <row r="584" ht="18" customHeight="1" x14ac:dyDescent="0.3"/>
    <row r="585" ht="18" customHeight="1" x14ac:dyDescent="0.3"/>
    <row r="586" ht="18" customHeight="1" x14ac:dyDescent="0.3"/>
    <row r="587" ht="18" customHeight="1" x14ac:dyDescent="0.3"/>
    <row r="588" ht="18" customHeight="1" x14ac:dyDescent="0.3"/>
    <row r="589" ht="18" customHeight="1" x14ac:dyDescent="0.3"/>
    <row r="590" ht="18" customHeight="1" x14ac:dyDescent="0.3"/>
    <row r="591" ht="18" customHeight="1" x14ac:dyDescent="0.3"/>
    <row r="592" ht="18" customHeight="1" x14ac:dyDescent="0.3"/>
    <row r="593" ht="18" customHeight="1" x14ac:dyDescent="0.3"/>
    <row r="594" ht="18" customHeight="1" x14ac:dyDescent="0.3"/>
    <row r="595" ht="18" customHeight="1" x14ac:dyDescent="0.3"/>
    <row r="596" ht="18" customHeight="1" x14ac:dyDescent="0.3"/>
    <row r="597" ht="18" customHeight="1" x14ac:dyDescent="0.3"/>
    <row r="598" ht="18" customHeight="1" x14ac:dyDescent="0.3"/>
    <row r="599" ht="18" customHeight="1" x14ac:dyDescent="0.3"/>
    <row r="600" ht="18" customHeight="1" x14ac:dyDescent="0.3"/>
    <row r="601" ht="18" customHeight="1" x14ac:dyDescent="0.3"/>
    <row r="602" ht="18" customHeight="1" x14ac:dyDescent="0.3"/>
    <row r="603" ht="18" customHeight="1" x14ac:dyDescent="0.3"/>
    <row r="604" ht="18" customHeight="1" x14ac:dyDescent="0.3"/>
    <row r="605" ht="18" customHeight="1" x14ac:dyDescent="0.3"/>
    <row r="606" ht="18" customHeight="1" x14ac:dyDescent="0.3"/>
    <row r="607" ht="18" customHeight="1" x14ac:dyDescent="0.3"/>
    <row r="608" ht="18" customHeight="1" x14ac:dyDescent="0.3"/>
    <row r="609" ht="18" customHeight="1" x14ac:dyDescent="0.3"/>
    <row r="610" ht="18" customHeight="1" x14ac:dyDescent="0.3"/>
    <row r="611" ht="18" customHeight="1" x14ac:dyDescent="0.3"/>
    <row r="612" ht="18" customHeight="1" x14ac:dyDescent="0.3"/>
    <row r="613" ht="18" customHeight="1" x14ac:dyDescent="0.3"/>
    <row r="614" ht="18" customHeight="1" x14ac:dyDescent="0.3"/>
    <row r="615" ht="18" customHeight="1" x14ac:dyDescent="0.3"/>
    <row r="616" ht="18" customHeight="1" x14ac:dyDescent="0.3"/>
    <row r="617" ht="18" customHeight="1" x14ac:dyDescent="0.3"/>
    <row r="618" ht="18" customHeight="1" x14ac:dyDescent="0.3"/>
    <row r="619" ht="18" customHeight="1" x14ac:dyDescent="0.3"/>
    <row r="620" ht="18" customHeight="1" x14ac:dyDescent="0.3"/>
    <row r="621" ht="18" customHeight="1" x14ac:dyDescent="0.3"/>
    <row r="622" ht="18" customHeight="1" x14ac:dyDescent="0.3"/>
    <row r="623" ht="18" customHeight="1" x14ac:dyDescent="0.3"/>
    <row r="624" ht="18" customHeight="1" x14ac:dyDescent="0.3"/>
    <row r="625" ht="18" customHeight="1" x14ac:dyDescent="0.3"/>
    <row r="626" ht="18" customHeight="1" x14ac:dyDescent="0.3"/>
    <row r="627" ht="18" customHeight="1" x14ac:dyDescent="0.3"/>
    <row r="628" ht="18" customHeight="1" x14ac:dyDescent="0.3"/>
    <row r="629" ht="18" customHeight="1" x14ac:dyDescent="0.3"/>
    <row r="630" ht="18" customHeight="1" x14ac:dyDescent="0.3"/>
    <row r="631" ht="18" customHeight="1" x14ac:dyDescent="0.3"/>
    <row r="632" ht="18" customHeight="1" x14ac:dyDescent="0.3"/>
    <row r="633" ht="18" customHeight="1" x14ac:dyDescent="0.3"/>
    <row r="634" ht="18" customHeight="1" x14ac:dyDescent="0.3"/>
    <row r="635" ht="18" customHeight="1" x14ac:dyDescent="0.3"/>
    <row r="636" ht="18" customHeight="1" x14ac:dyDescent="0.3"/>
    <row r="637" ht="18" customHeight="1" x14ac:dyDescent="0.3"/>
    <row r="638" ht="18" customHeight="1" x14ac:dyDescent="0.3"/>
    <row r="639" ht="18" customHeight="1" x14ac:dyDescent="0.3"/>
    <row r="640" ht="18" customHeight="1" x14ac:dyDescent="0.3"/>
    <row r="641" ht="18" customHeight="1" x14ac:dyDescent="0.3"/>
    <row r="642" ht="18" customHeight="1" x14ac:dyDescent="0.3"/>
    <row r="643" ht="18" customHeight="1" x14ac:dyDescent="0.3"/>
    <row r="644" ht="18" customHeight="1" x14ac:dyDescent="0.3"/>
    <row r="645" ht="18" customHeight="1" x14ac:dyDescent="0.3"/>
    <row r="646" ht="18" customHeight="1" x14ac:dyDescent="0.3"/>
    <row r="647" ht="18" customHeight="1" x14ac:dyDescent="0.3"/>
    <row r="648" ht="18" customHeight="1" x14ac:dyDescent="0.3"/>
    <row r="649" ht="18" customHeight="1" x14ac:dyDescent="0.3"/>
    <row r="650" ht="18" customHeight="1" x14ac:dyDescent="0.3"/>
    <row r="651" ht="18" customHeight="1" x14ac:dyDescent="0.3"/>
    <row r="652" ht="18" customHeight="1" x14ac:dyDescent="0.3"/>
    <row r="653" ht="18" customHeight="1" x14ac:dyDescent="0.3"/>
    <row r="654" ht="18" customHeight="1" x14ac:dyDescent="0.3"/>
    <row r="655" ht="18" customHeight="1" x14ac:dyDescent="0.3"/>
    <row r="656" ht="18" customHeight="1" x14ac:dyDescent="0.3"/>
    <row r="657" ht="18" customHeight="1" x14ac:dyDescent="0.3"/>
    <row r="658" ht="18" customHeight="1" x14ac:dyDescent="0.3"/>
    <row r="659" ht="18" customHeight="1" x14ac:dyDescent="0.3"/>
    <row r="660" ht="18" customHeight="1" x14ac:dyDescent="0.3"/>
    <row r="661" ht="18" customHeight="1" x14ac:dyDescent="0.3"/>
    <row r="662" ht="18" customHeight="1" x14ac:dyDescent="0.3"/>
    <row r="663" ht="18" customHeight="1" x14ac:dyDescent="0.3"/>
    <row r="664" ht="18" customHeight="1" x14ac:dyDescent="0.3"/>
    <row r="665" ht="18" customHeight="1" x14ac:dyDescent="0.3"/>
    <row r="666" ht="18" customHeight="1" x14ac:dyDescent="0.3"/>
    <row r="667" ht="18" customHeight="1" x14ac:dyDescent="0.3"/>
    <row r="668" ht="18" customHeight="1" x14ac:dyDescent="0.3"/>
    <row r="669" ht="18" customHeight="1" x14ac:dyDescent="0.3"/>
    <row r="670" ht="18" customHeight="1" x14ac:dyDescent="0.3"/>
    <row r="671" ht="18" customHeight="1" x14ac:dyDescent="0.3"/>
    <row r="672" ht="18" customHeight="1" x14ac:dyDescent="0.3"/>
    <row r="673" ht="18" customHeight="1" x14ac:dyDescent="0.3"/>
    <row r="674" ht="18" customHeight="1" x14ac:dyDescent="0.3"/>
    <row r="675" ht="18" customHeight="1" x14ac:dyDescent="0.3"/>
    <row r="676" ht="18" customHeight="1" x14ac:dyDescent="0.3"/>
    <row r="677" ht="18" customHeight="1" x14ac:dyDescent="0.3"/>
    <row r="678" ht="18" customHeight="1" x14ac:dyDescent="0.3"/>
    <row r="679" ht="18" customHeight="1" x14ac:dyDescent="0.3"/>
    <row r="680" ht="18" customHeight="1" x14ac:dyDescent="0.3"/>
    <row r="681" ht="18" customHeight="1" x14ac:dyDescent="0.3"/>
    <row r="682" ht="18" customHeight="1" x14ac:dyDescent="0.3"/>
    <row r="683" ht="18" customHeight="1" x14ac:dyDescent="0.3"/>
    <row r="684" ht="18" customHeight="1" x14ac:dyDescent="0.3"/>
    <row r="685" ht="18" customHeight="1" x14ac:dyDescent="0.3"/>
    <row r="686" ht="18" customHeight="1" x14ac:dyDescent="0.3"/>
    <row r="687" ht="18" customHeight="1" x14ac:dyDescent="0.3"/>
    <row r="688" ht="18" customHeight="1" x14ac:dyDescent="0.3"/>
    <row r="689" ht="18" customHeight="1" x14ac:dyDescent="0.3"/>
    <row r="690" ht="18" customHeight="1" x14ac:dyDescent="0.3"/>
    <row r="691" ht="18" customHeight="1" x14ac:dyDescent="0.3"/>
    <row r="692" ht="18" customHeight="1" x14ac:dyDescent="0.3"/>
    <row r="693" ht="18" customHeight="1" x14ac:dyDescent="0.3"/>
    <row r="694" ht="18" customHeight="1" x14ac:dyDescent="0.3"/>
    <row r="695" ht="18" customHeight="1" x14ac:dyDescent="0.3"/>
    <row r="696" ht="18" customHeight="1" x14ac:dyDescent="0.3"/>
    <row r="697" ht="18" customHeight="1" x14ac:dyDescent="0.3"/>
    <row r="698" ht="18" customHeight="1" x14ac:dyDescent="0.3"/>
    <row r="699" ht="18" customHeight="1" x14ac:dyDescent="0.3"/>
    <row r="700" ht="18" customHeight="1" x14ac:dyDescent="0.3"/>
    <row r="701" ht="18" customHeight="1" x14ac:dyDescent="0.3"/>
    <row r="702" ht="18" customHeight="1" x14ac:dyDescent="0.3"/>
    <row r="703" ht="18" customHeight="1" x14ac:dyDescent="0.3"/>
    <row r="704" ht="18" customHeight="1" x14ac:dyDescent="0.3"/>
    <row r="705" ht="18" customHeight="1" x14ac:dyDescent="0.3"/>
    <row r="706" ht="18" customHeight="1" x14ac:dyDescent="0.3"/>
    <row r="707" ht="18" customHeight="1" x14ac:dyDescent="0.3"/>
    <row r="708" ht="18" customHeight="1" x14ac:dyDescent="0.3"/>
    <row r="709" ht="18" customHeight="1" x14ac:dyDescent="0.3"/>
    <row r="710" ht="18" customHeight="1" x14ac:dyDescent="0.3"/>
    <row r="711" ht="18" customHeight="1" x14ac:dyDescent="0.3"/>
    <row r="712" ht="18" customHeight="1" x14ac:dyDescent="0.3"/>
    <row r="713" ht="18" customHeight="1" x14ac:dyDescent="0.3"/>
    <row r="714" ht="18" customHeight="1" x14ac:dyDescent="0.3"/>
    <row r="715" ht="18" customHeight="1" x14ac:dyDescent="0.3"/>
    <row r="716" ht="18" customHeight="1" x14ac:dyDescent="0.3"/>
    <row r="717" ht="18" customHeight="1" x14ac:dyDescent="0.3"/>
    <row r="718" ht="18" customHeight="1" x14ac:dyDescent="0.3"/>
    <row r="719" ht="18" customHeight="1" x14ac:dyDescent="0.3"/>
    <row r="720" ht="18" customHeight="1" x14ac:dyDescent="0.3"/>
    <row r="721" ht="18" customHeight="1" x14ac:dyDescent="0.3"/>
    <row r="722" ht="18" customHeight="1" x14ac:dyDescent="0.3"/>
    <row r="723" ht="18" customHeight="1" x14ac:dyDescent="0.3"/>
    <row r="724" ht="18" customHeight="1" x14ac:dyDescent="0.3"/>
    <row r="725" ht="18" customHeight="1" x14ac:dyDescent="0.3"/>
    <row r="726" ht="18" customHeight="1" x14ac:dyDescent="0.3"/>
    <row r="727" ht="18" customHeight="1" x14ac:dyDescent="0.3"/>
    <row r="728" ht="18" customHeight="1" x14ac:dyDescent="0.3"/>
    <row r="729" ht="18" customHeight="1" x14ac:dyDescent="0.3"/>
    <row r="730" ht="18" customHeight="1" x14ac:dyDescent="0.3"/>
    <row r="731" ht="18" customHeight="1" x14ac:dyDescent="0.3"/>
    <row r="732" ht="18" customHeight="1" x14ac:dyDescent="0.3"/>
    <row r="733" ht="18" customHeight="1" x14ac:dyDescent="0.3"/>
    <row r="734" ht="18" customHeight="1" x14ac:dyDescent="0.3"/>
    <row r="735" ht="18" customHeight="1" x14ac:dyDescent="0.3"/>
    <row r="736" ht="18" customHeight="1" x14ac:dyDescent="0.3"/>
    <row r="737" ht="18" customHeight="1" x14ac:dyDescent="0.3"/>
    <row r="738" ht="18" customHeight="1" x14ac:dyDescent="0.3"/>
    <row r="739" ht="18" customHeight="1" x14ac:dyDescent="0.3"/>
    <row r="740" ht="18" customHeight="1" x14ac:dyDescent="0.3"/>
    <row r="741" ht="18" customHeight="1" x14ac:dyDescent="0.3"/>
    <row r="742" ht="18" customHeight="1" x14ac:dyDescent="0.3"/>
    <row r="743" ht="18" customHeight="1" x14ac:dyDescent="0.3"/>
    <row r="744" ht="18" customHeight="1" x14ac:dyDescent="0.3"/>
    <row r="745" ht="18" customHeight="1" x14ac:dyDescent="0.3"/>
    <row r="746" ht="18" customHeight="1" x14ac:dyDescent="0.3"/>
    <row r="747" ht="18" customHeight="1" x14ac:dyDescent="0.3"/>
    <row r="748" ht="18" customHeight="1" x14ac:dyDescent="0.3"/>
    <row r="749" ht="18" customHeight="1" x14ac:dyDescent="0.3"/>
    <row r="750" ht="18" customHeight="1" x14ac:dyDescent="0.3"/>
    <row r="751" ht="18" customHeight="1" x14ac:dyDescent="0.3"/>
    <row r="752" ht="18" customHeight="1" x14ac:dyDescent="0.3"/>
    <row r="753" ht="18" customHeight="1" x14ac:dyDescent="0.3"/>
    <row r="754" ht="18" customHeight="1" x14ac:dyDescent="0.3"/>
    <row r="755" ht="18" customHeight="1" x14ac:dyDescent="0.3"/>
    <row r="756" ht="18" customHeight="1" x14ac:dyDescent="0.3"/>
    <row r="757" ht="18" customHeight="1" x14ac:dyDescent="0.3"/>
    <row r="758" ht="18" customHeight="1" x14ac:dyDescent="0.3"/>
    <row r="759" ht="18" customHeight="1" x14ac:dyDescent="0.3"/>
    <row r="760" ht="18" customHeight="1" x14ac:dyDescent="0.3"/>
    <row r="761" ht="18" customHeight="1" x14ac:dyDescent="0.3"/>
    <row r="762" ht="18" customHeight="1" x14ac:dyDescent="0.3"/>
    <row r="763" ht="18" customHeight="1" x14ac:dyDescent="0.3"/>
    <row r="764" ht="18" customHeight="1" x14ac:dyDescent="0.3"/>
    <row r="765" ht="18" customHeight="1" x14ac:dyDescent="0.3"/>
    <row r="766" ht="18" customHeight="1" x14ac:dyDescent="0.3"/>
    <row r="767" ht="18" customHeight="1" x14ac:dyDescent="0.3"/>
    <row r="768" ht="18" customHeight="1" x14ac:dyDescent="0.3"/>
    <row r="769" ht="18" customHeight="1" x14ac:dyDescent="0.3"/>
    <row r="770" ht="18" customHeight="1" x14ac:dyDescent="0.3"/>
    <row r="771" ht="18" customHeight="1" x14ac:dyDescent="0.3"/>
    <row r="772" ht="18" customHeight="1" x14ac:dyDescent="0.3"/>
    <row r="773" ht="18" customHeight="1" x14ac:dyDescent="0.3"/>
    <row r="774" ht="18" customHeight="1" x14ac:dyDescent="0.3"/>
    <row r="775" ht="18" customHeight="1" x14ac:dyDescent="0.3"/>
    <row r="776" ht="18" customHeight="1" x14ac:dyDescent="0.3"/>
    <row r="777" ht="18" customHeight="1" x14ac:dyDescent="0.3"/>
    <row r="778" ht="18" customHeight="1" x14ac:dyDescent="0.3"/>
    <row r="779" ht="18" customHeight="1" x14ac:dyDescent="0.3"/>
    <row r="780" ht="18" customHeight="1" x14ac:dyDescent="0.3"/>
    <row r="781" ht="18" customHeight="1" x14ac:dyDescent="0.3"/>
    <row r="782" ht="18" customHeight="1" x14ac:dyDescent="0.3"/>
    <row r="783" ht="18" customHeight="1" x14ac:dyDescent="0.3"/>
    <row r="784" ht="18" customHeight="1" x14ac:dyDescent="0.3"/>
    <row r="785" ht="18" customHeight="1" x14ac:dyDescent="0.3"/>
    <row r="786" ht="18" customHeight="1" x14ac:dyDescent="0.3"/>
    <row r="787" ht="18" customHeight="1" x14ac:dyDescent="0.3"/>
    <row r="788" ht="18" customHeight="1" x14ac:dyDescent="0.3"/>
    <row r="789" ht="18" customHeight="1" x14ac:dyDescent="0.3"/>
    <row r="790" ht="18" customHeight="1" x14ac:dyDescent="0.3"/>
    <row r="791" ht="18" customHeight="1" x14ac:dyDescent="0.3"/>
    <row r="792" ht="18" customHeight="1" x14ac:dyDescent="0.3"/>
    <row r="793" ht="18" customHeight="1" x14ac:dyDescent="0.3"/>
    <row r="794" ht="18" customHeight="1" x14ac:dyDescent="0.3"/>
    <row r="795" ht="18" customHeight="1" x14ac:dyDescent="0.3"/>
    <row r="796" ht="18" customHeight="1" x14ac:dyDescent="0.3"/>
    <row r="797" ht="18" customHeight="1" x14ac:dyDescent="0.3"/>
    <row r="798" ht="18" customHeight="1" x14ac:dyDescent="0.3"/>
    <row r="799" ht="18" customHeight="1" x14ac:dyDescent="0.3"/>
    <row r="800" ht="18" customHeight="1" x14ac:dyDescent="0.3"/>
    <row r="801" ht="18" customHeight="1" x14ac:dyDescent="0.3"/>
    <row r="802" ht="18" customHeight="1" x14ac:dyDescent="0.3"/>
    <row r="803" ht="18" customHeight="1" x14ac:dyDescent="0.3"/>
    <row r="804" ht="18" customHeight="1" x14ac:dyDescent="0.3"/>
    <row r="805" ht="18" customHeight="1" x14ac:dyDescent="0.3"/>
    <row r="806" ht="18" customHeight="1" x14ac:dyDescent="0.3"/>
    <row r="807" ht="18" customHeight="1" x14ac:dyDescent="0.3"/>
    <row r="808" ht="18" customHeight="1" x14ac:dyDescent="0.3"/>
    <row r="809" ht="18" customHeight="1" x14ac:dyDescent="0.3"/>
    <row r="810" ht="18" customHeight="1" x14ac:dyDescent="0.3"/>
    <row r="811" ht="18" customHeight="1" x14ac:dyDescent="0.3"/>
    <row r="812" ht="18" customHeight="1" x14ac:dyDescent="0.3"/>
    <row r="813" ht="18" customHeight="1" x14ac:dyDescent="0.3"/>
    <row r="814" ht="18" customHeight="1" x14ac:dyDescent="0.3"/>
    <row r="815" ht="18" customHeight="1" x14ac:dyDescent="0.3"/>
    <row r="816" ht="18" customHeight="1" x14ac:dyDescent="0.3"/>
    <row r="817" ht="18" customHeight="1" x14ac:dyDescent="0.3"/>
    <row r="818" ht="18" customHeight="1" x14ac:dyDescent="0.3"/>
    <row r="819" ht="18" customHeight="1" x14ac:dyDescent="0.3"/>
    <row r="820" ht="18" customHeight="1" x14ac:dyDescent="0.3"/>
    <row r="821" ht="18" customHeight="1" x14ac:dyDescent="0.3"/>
    <row r="822" ht="18" customHeight="1" x14ac:dyDescent="0.3"/>
    <row r="823" ht="18" customHeight="1" x14ac:dyDescent="0.3"/>
    <row r="824" ht="18" customHeight="1" x14ac:dyDescent="0.3"/>
    <row r="825" ht="18" customHeight="1" x14ac:dyDescent="0.3"/>
    <row r="826" ht="18" customHeight="1" x14ac:dyDescent="0.3"/>
    <row r="827" ht="18" customHeight="1" x14ac:dyDescent="0.3"/>
    <row r="828" ht="18" customHeight="1" x14ac:dyDescent="0.3"/>
    <row r="829" ht="18" customHeight="1" x14ac:dyDescent="0.3"/>
    <row r="830" ht="18" customHeight="1" x14ac:dyDescent="0.3"/>
    <row r="831" ht="18" customHeight="1" x14ac:dyDescent="0.3"/>
    <row r="832" ht="18" customHeight="1" x14ac:dyDescent="0.3"/>
    <row r="833" ht="18" customHeight="1" x14ac:dyDescent="0.3"/>
    <row r="834" ht="18" customHeight="1" x14ac:dyDescent="0.3"/>
    <row r="835" ht="18" customHeight="1" x14ac:dyDescent="0.3"/>
    <row r="836" ht="18" customHeight="1" x14ac:dyDescent="0.3"/>
    <row r="837" ht="18" customHeight="1" x14ac:dyDescent="0.3"/>
    <row r="838" ht="18" customHeight="1" x14ac:dyDescent="0.3"/>
    <row r="839" ht="18" customHeight="1" x14ac:dyDescent="0.3"/>
    <row r="840" ht="18" customHeight="1" x14ac:dyDescent="0.3"/>
    <row r="841" ht="18" customHeight="1" x14ac:dyDescent="0.3"/>
    <row r="842" ht="18" customHeight="1" x14ac:dyDescent="0.3"/>
    <row r="843" ht="18" customHeight="1" x14ac:dyDescent="0.3"/>
    <row r="844" ht="18" customHeight="1" x14ac:dyDescent="0.3"/>
    <row r="845" ht="18" customHeight="1" x14ac:dyDescent="0.3"/>
    <row r="846" ht="18" customHeight="1" x14ac:dyDescent="0.3"/>
    <row r="847" ht="18" customHeight="1" x14ac:dyDescent="0.3"/>
    <row r="848" ht="18" customHeight="1" x14ac:dyDescent="0.3"/>
    <row r="849" ht="18" customHeight="1" x14ac:dyDescent="0.3"/>
    <row r="850" ht="18" customHeight="1" x14ac:dyDescent="0.3"/>
    <row r="851" ht="18" customHeight="1" x14ac:dyDescent="0.3"/>
    <row r="852" ht="18" customHeight="1" x14ac:dyDescent="0.3"/>
    <row r="853" ht="18" customHeight="1" x14ac:dyDescent="0.3"/>
    <row r="854" ht="18" customHeight="1" x14ac:dyDescent="0.3"/>
    <row r="855" ht="18" customHeight="1" x14ac:dyDescent="0.3"/>
    <row r="856" ht="18" customHeight="1" x14ac:dyDescent="0.3"/>
    <row r="857" ht="18" customHeight="1" x14ac:dyDescent="0.3"/>
    <row r="858" ht="18" customHeight="1" x14ac:dyDescent="0.3"/>
    <row r="859" ht="18" customHeight="1" x14ac:dyDescent="0.3"/>
    <row r="860" ht="18" customHeight="1" x14ac:dyDescent="0.3"/>
    <row r="861" ht="18" customHeight="1" x14ac:dyDescent="0.3"/>
    <row r="862" ht="18" customHeight="1" x14ac:dyDescent="0.3"/>
    <row r="863" ht="18" customHeight="1" x14ac:dyDescent="0.3"/>
    <row r="864" ht="18" customHeight="1" x14ac:dyDescent="0.3"/>
    <row r="865" ht="18" customHeight="1" x14ac:dyDescent="0.3"/>
    <row r="866" ht="18" customHeight="1" x14ac:dyDescent="0.3"/>
    <row r="867" ht="18" customHeight="1" x14ac:dyDescent="0.3"/>
    <row r="868" ht="18" customHeight="1" x14ac:dyDescent="0.3"/>
    <row r="869" ht="18" customHeight="1" x14ac:dyDescent="0.3"/>
    <row r="870" ht="18" customHeight="1" x14ac:dyDescent="0.3"/>
    <row r="871" ht="18" customHeight="1" x14ac:dyDescent="0.3"/>
    <row r="872" ht="18" customHeight="1" x14ac:dyDescent="0.3"/>
    <row r="873" ht="18" customHeight="1" x14ac:dyDescent="0.3"/>
    <row r="874" ht="18" customHeight="1" x14ac:dyDescent="0.3"/>
    <row r="875" ht="18" customHeight="1" x14ac:dyDescent="0.3"/>
    <row r="876" ht="18" customHeight="1" x14ac:dyDescent="0.3"/>
    <row r="877" ht="18" customHeight="1" x14ac:dyDescent="0.3"/>
    <row r="878" ht="18" customHeight="1" x14ac:dyDescent="0.3"/>
    <row r="879" ht="18" customHeight="1" x14ac:dyDescent="0.3"/>
    <row r="880" ht="18" customHeight="1" x14ac:dyDescent="0.3"/>
    <row r="881" ht="18" customHeight="1" x14ac:dyDescent="0.3"/>
    <row r="882" ht="18" customHeight="1" x14ac:dyDescent="0.3"/>
    <row r="883" ht="18" customHeight="1" x14ac:dyDescent="0.3"/>
    <row r="884" ht="18" customHeight="1" x14ac:dyDescent="0.3"/>
    <row r="885" ht="18" customHeight="1" x14ac:dyDescent="0.3"/>
    <row r="886" ht="18" customHeight="1" x14ac:dyDescent="0.3"/>
    <row r="887" ht="18" customHeight="1" x14ac:dyDescent="0.3"/>
    <row r="888" ht="18" customHeight="1" x14ac:dyDescent="0.3"/>
    <row r="889" ht="18" customHeight="1" x14ac:dyDescent="0.3"/>
    <row r="890" ht="18" customHeight="1" x14ac:dyDescent="0.3"/>
    <row r="891" ht="18" customHeight="1" x14ac:dyDescent="0.3"/>
    <row r="892" ht="18" customHeight="1" x14ac:dyDescent="0.3"/>
    <row r="893" ht="18" customHeight="1" x14ac:dyDescent="0.3"/>
    <row r="894" ht="18" customHeight="1" x14ac:dyDescent="0.3"/>
    <row r="895" ht="18" customHeight="1" x14ac:dyDescent="0.3"/>
    <row r="896" ht="18" customHeight="1" x14ac:dyDescent="0.3"/>
    <row r="897" ht="18" customHeight="1" x14ac:dyDescent="0.3"/>
    <row r="898" ht="18" customHeight="1" x14ac:dyDescent="0.3"/>
    <row r="899" ht="18" customHeight="1" x14ac:dyDescent="0.3"/>
    <row r="900" ht="18" customHeight="1" x14ac:dyDescent="0.3"/>
    <row r="901" ht="18" customHeight="1" x14ac:dyDescent="0.3"/>
    <row r="902" ht="18" customHeight="1" x14ac:dyDescent="0.3"/>
    <row r="903" ht="18" customHeight="1" x14ac:dyDescent="0.3"/>
    <row r="904" ht="18" customHeight="1" x14ac:dyDescent="0.3"/>
    <row r="905" ht="18" customHeight="1" x14ac:dyDescent="0.3"/>
    <row r="906" ht="18" customHeight="1" x14ac:dyDescent="0.3"/>
    <row r="907" ht="18" customHeight="1" x14ac:dyDescent="0.3"/>
    <row r="908" ht="18" customHeight="1" x14ac:dyDescent="0.3"/>
    <row r="909" ht="18" customHeight="1" x14ac:dyDescent="0.3"/>
    <row r="910" ht="18" customHeight="1" x14ac:dyDescent="0.3"/>
    <row r="911" ht="18" customHeight="1" x14ac:dyDescent="0.3"/>
    <row r="912" ht="18" customHeight="1" x14ac:dyDescent="0.3"/>
    <row r="913" ht="18" customHeight="1" x14ac:dyDescent="0.3"/>
    <row r="914" ht="18" customHeight="1" x14ac:dyDescent="0.3"/>
    <row r="915" ht="18" customHeight="1" x14ac:dyDescent="0.3"/>
    <row r="916" ht="18" customHeight="1" x14ac:dyDescent="0.3"/>
    <row r="917" ht="18" customHeight="1" x14ac:dyDescent="0.3"/>
    <row r="918" ht="18" customHeight="1" x14ac:dyDescent="0.3"/>
    <row r="919" ht="18" customHeight="1" x14ac:dyDescent="0.3"/>
    <row r="920" ht="18" customHeight="1" x14ac:dyDescent="0.3"/>
    <row r="921" ht="18" customHeight="1" x14ac:dyDescent="0.3"/>
    <row r="922" ht="18" customHeight="1" x14ac:dyDescent="0.3"/>
    <row r="923" ht="18" customHeight="1" x14ac:dyDescent="0.3"/>
    <row r="924" ht="18" customHeight="1" x14ac:dyDescent="0.3"/>
    <row r="925" ht="18" customHeight="1" x14ac:dyDescent="0.3"/>
    <row r="926" ht="18" customHeight="1" x14ac:dyDescent="0.3"/>
    <row r="927" ht="18" customHeight="1" x14ac:dyDescent="0.3"/>
    <row r="928" ht="18" customHeight="1" x14ac:dyDescent="0.3"/>
    <row r="929" ht="18" customHeight="1" x14ac:dyDescent="0.3"/>
    <row r="930" ht="18" customHeight="1" x14ac:dyDescent="0.3"/>
    <row r="931" ht="18" customHeight="1" x14ac:dyDescent="0.3"/>
    <row r="932" ht="18" customHeight="1" x14ac:dyDescent="0.3"/>
    <row r="933" ht="18" customHeight="1" x14ac:dyDescent="0.3"/>
    <row r="934" ht="18" customHeight="1" x14ac:dyDescent="0.3"/>
    <row r="935" ht="18" customHeight="1" x14ac:dyDescent="0.3"/>
    <row r="936" ht="18" customHeight="1" x14ac:dyDescent="0.3"/>
    <row r="937" ht="18" customHeight="1" x14ac:dyDescent="0.3"/>
    <row r="938" ht="18" customHeight="1" x14ac:dyDescent="0.3"/>
    <row r="939" ht="18" customHeight="1" x14ac:dyDescent="0.3"/>
    <row r="940" ht="18" customHeight="1" x14ac:dyDescent="0.3"/>
    <row r="941" ht="18" customHeight="1" x14ac:dyDescent="0.3"/>
    <row r="942" ht="18" customHeight="1" x14ac:dyDescent="0.3"/>
    <row r="943" ht="18" customHeight="1" x14ac:dyDescent="0.3"/>
    <row r="944" ht="18" customHeight="1" x14ac:dyDescent="0.3"/>
    <row r="945" ht="18" customHeight="1" x14ac:dyDescent="0.3"/>
    <row r="946" ht="18" customHeight="1" x14ac:dyDescent="0.3"/>
    <row r="947" ht="18" customHeight="1" x14ac:dyDescent="0.3"/>
    <row r="948" ht="18" customHeight="1" x14ac:dyDescent="0.3"/>
    <row r="949" ht="18" customHeight="1" x14ac:dyDescent="0.3"/>
    <row r="950" ht="18" customHeight="1" x14ac:dyDescent="0.3"/>
    <row r="951" ht="18" customHeight="1" x14ac:dyDescent="0.3"/>
    <row r="952" ht="18" customHeight="1" x14ac:dyDescent="0.3"/>
    <row r="953" ht="18" customHeight="1" x14ac:dyDescent="0.3"/>
    <row r="954" ht="18" customHeight="1" x14ac:dyDescent="0.3"/>
    <row r="955" ht="18" customHeight="1" x14ac:dyDescent="0.3"/>
    <row r="956" ht="18" customHeight="1" x14ac:dyDescent="0.3"/>
    <row r="957" ht="18" customHeight="1" x14ac:dyDescent="0.3"/>
    <row r="958" ht="18" customHeight="1" x14ac:dyDescent="0.3"/>
    <row r="959" ht="18" customHeight="1" x14ac:dyDescent="0.3"/>
    <row r="960" ht="18" customHeight="1" x14ac:dyDescent="0.3"/>
    <row r="961" ht="18" customHeight="1" x14ac:dyDescent="0.3"/>
    <row r="962" ht="18" customHeight="1" x14ac:dyDescent="0.3"/>
    <row r="963" ht="18" customHeight="1" x14ac:dyDescent="0.3"/>
    <row r="964" ht="18" customHeight="1" x14ac:dyDescent="0.3"/>
    <row r="965" ht="18" customHeight="1" x14ac:dyDescent="0.3"/>
    <row r="966" ht="18" customHeight="1" x14ac:dyDescent="0.3"/>
    <row r="967" ht="18" customHeight="1" x14ac:dyDescent="0.3"/>
    <row r="968" ht="18" customHeight="1" x14ac:dyDescent="0.3"/>
    <row r="969" ht="18" customHeight="1" x14ac:dyDescent="0.3"/>
    <row r="970" ht="18" customHeight="1" x14ac:dyDescent="0.3"/>
    <row r="971" ht="18" customHeight="1" x14ac:dyDescent="0.3"/>
    <row r="972" ht="18" customHeight="1" x14ac:dyDescent="0.3"/>
    <row r="973" ht="18" customHeight="1" x14ac:dyDescent="0.3"/>
    <row r="974" ht="18" customHeight="1" x14ac:dyDescent="0.3"/>
    <row r="975" ht="18" customHeight="1" x14ac:dyDescent="0.3"/>
    <row r="976" ht="18" customHeight="1" x14ac:dyDescent="0.3"/>
    <row r="977" ht="18" customHeight="1" x14ac:dyDescent="0.3"/>
    <row r="978" ht="18" customHeight="1" x14ac:dyDescent="0.3"/>
    <row r="979" ht="18" customHeight="1" x14ac:dyDescent="0.3"/>
    <row r="980" ht="18" customHeight="1" x14ac:dyDescent="0.3"/>
    <row r="981" ht="18" customHeight="1" x14ac:dyDescent="0.3"/>
    <row r="982" ht="18" customHeight="1" x14ac:dyDescent="0.3"/>
    <row r="983" ht="18" customHeight="1" x14ac:dyDescent="0.3"/>
    <row r="984" ht="18" customHeight="1" x14ac:dyDescent="0.3"/>
    <row r="985" ht="18" customHeight="1" x14ac:dyDescent="0.3"/>
    <row r="986" ht="18" customHeight="1" x14ac:dyDescent="0.3"/>
    <row r="987" ht="18" customHeight="1" x14ac:dyDescent="0.3"/>
    <row r="988" ht="18" customHeight="1" x14ac:dyDescent="0.3"/>
    <row r="989" ht="18" customHeight="1" x14ac:dyDescent="0.3"/>
    <row r="990" ht="18" customHeight="1" x14ac:dyDescent="0.3"/>
    <row r="991" ht="18" customHeight="1" x14ac:dyDescent="0.3"/>
    <row r="992" ht="18" customHeight="1" x14ac:dyDescent="0.3"/>
    <row r="993" ht="18" customHeight="1" x14ac:dyDescent="0.3"/>
    <row r="994" ht="18" customHeight="1" x14ac:dyDescent="0.3"/>
    <row r="995" ht="18" customHeight="1" x14ac:dyDescent="0.3"/>
    <row r="996" ht="18" customHeight="1" x14ac:dyDescent="0.3"/>
    <row r="997" ht="18" customHeight="1" x14ac:dyDescent="0.3"/>
    <row r="998" ht="18" customHeight="1" x14ac:dyDescent="0.3"/>
    <row r="999" ht="18" customHeight="1" x14ac:dyDescent="0.3"/>
    <row r="1000" ht="18" customHeight="1" x14ac:dyDescent="0.3"/>
    <row r="1001" ht="18" customHeight="1" x14ac:dyDescent="0.3"/>
    <row r="1002" ht="18" customHeight="1" x14ac:dyDescent="0.3"/>
    <row r="1003" ht="18" customHeight="1" x14ac:dyDescent="0.3"/>
    <row r="1004" ht="18" customHeight="1" x14ac:dyDescent="0.3"/>
  </sheetData>
  <phoneticPr fontId="3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1000"/>
  <sheetViews>
    <sheetView showGridLines="0" workbookViewId="0">
      <selection activeCell="C14" sqref="C14"/>
    </sheetView>
  </sheetViews>
  <sheetFormatPr defaultColWidth="12.6640625" defaultRowHeight="15" customHeight="1" x14ac:dyDescent="0.3"/>
  <cols>
    <col min="1" max="1" width="3" customWidth="1"/>
    <col min="2" max="2" width="18.109375" customWidth="1"/>
    <col min="3" max="3" width="13.77734375" customWidth="1"/>
    <col min="4" max="4" width="17" customWidth="1"/>
    <col min="5" max="5" width="13.88671875" customWidth="1"/>
    <col min="6" max="6" width="3.44140625" customWidth="1"/>
    <col min="7" max="26" width="7.6640625" customWidth="1"/>
  </cols>
  <sheetData>
    <row r="1" spans="2:7" ht="18" customHeight="1" x14ac:dyDescent="0.3"/>
    <row r="2" spans="2:7" ht="36" customHeight="1" x14ac:dyDescent="0.3">
      <c r="B2" s="29" t="s">
        <v>12</v>
      </c>
      <c r="C2" s="30" t="s">
        <v>14</v>
      </c>
      <c r="D2" s="30" t="s">
        <v>15</v>
      </c>
      <c r="E2" s="30" t="s">
        <v>16</v>
      </c>
      <c r="F2" s="31"/>
    </row>
    <row r="3" spans="2:7" ht="18" customHeight="1" x14ac:dyDescent="0.3">
      <c r="B3" s="29"/>
      <c r="C3" s="31" t="s">
        <v>10</v>
      </c>
      <c r="D3" s="31" t="s">
        <v>8</v>
      </c>
      <c r="E3" s="31" t="s">
        <v>19</v>
      </c>
      <c r="F3" s="31"/>
    </row>
    <row r="4" spans="2:7" ht="18" customHeight="1" x14ac:dyDescent="0.3">
      <c r="B4" s="29" t="s">
        <v>21</v>
      </c>
      <c r="C4" s="29"/>
      <c r="D4" s="29">
        <v>1</v>
      </c>
      <c r="E4" s="29">
        <v>0.33539999999999998</v>
      </c>
      <c r="F4" s="29"/>
      <c r="G4" s="1">
        <f>C4*D4*E4</f>
        <v>0</v>
      </c>
    </row>
    <row r="5" spans="2:7" ht="18" customHeight="1" x14ac:dyDescent="0.3">
      <c r="B5" s="29"/>
      <c r="C5" s="29"/>
      <c r="D5" s="29"/>
      <c r="E5" s="29"/>
      <c r="F5" s="29"/>
    </row>
    <row r="6" spans="2:7" ht="18" customHeight="1" x14ac:dyDescent="0.3">
      <c r="B6" s="29"/>
      <c r="C6" s="29"/>
      <c r="D6" s="29"/>
      <c r="E6" s="29"/>
      <c r="F6" s="29"/>
    </row>
    <row r="7" spans="2:7" ht="18" customHeight="1" x14ac:dyDescent="0.3">
      <c r="B7" s="29"/>
      <c r="C7" s="29"/>
      <c r="D7" s="29"/>
      <c r="E7" s="29"/>
      <c r="F7" s="29"/>
    </row>
    <row r="8" spans="2:7" ht="18" customHeight="1" x14ac:dyDescent="0.3">
      <c r="B8" s="29"/>
      <c r="C8" s="29"/>
      <c r="D8" s="29"/>
      <c r="E8" s="29"/>
      <c r="F8" s="29"/>
    </row>
    <row r="9" spans="2:7" ht="18" customHeight="1" x14ac:dyDescent="0.3">
      <c r="B9" s="29"/>
      <c r="C9" s="29"/>
      <c r="D9" s="29"/>
      <c r="E9" s="29"/>
      <c r="F9" s="29"/>
    </row>
    <row r="10" spans="2:7" ht="18" customHeight="1" x14ac:dyDescent="0.3">
      <c r="B10" s="29"/>
      <c r="C10" s="29"/>
      <c r="D10" s="29"/>
      <c r="E10" s="29"/>
      <c r="F10" s="29"/>
    </row>
    <row r="11" spans="2:7" ht="18" customHeight="1" x14ac:dyDescent="0.3">
      <c r="B11" s="29"/>
      <c r="C11" s="29"/>
      <c r="D11" s="29"/>
      <c r="E11" s="29"/>
      <c r="F11" s="29"/>
    </row>
    <row r="12" spans="2:7" ht="18" customHeight="1" x14ac:dyDescent="0.3"/>
    <row r="13" spans="2:7" ht="18" customHeight="1" x14ac:dyDescent="0.3"/>
    <row r="14" spans="2:7" ht="18" customHeight="1" x14ac:dyDescent="0.3"/>
    <row r="15" spans="2:7" ht="18" customHeight="1" x14ac:dyDescent="0.3"/>
    <row r="16" spans="2:7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  <row r="549" ht="18" customHeight="1" x14ac:dyDescent="0.3"/>
    <row r="550" ht="18" customHeight="1" x14ac:dyDescent="0.3"/>
    <row r="551" ht="18" customHeight="1" x14ac:dyDescent="0.3"/>
    <row r="552" ht="18" customHeight="1" x14ac:dyDescent="0.3"/>
    <row r="553" ht="18" customHeight="1" x14ac:dyDescent="0.3"/>
    <row r="554" ht="18" customHeight="1" x14ac:dyDescent="0.3"/>
    <row r="555" ht="18" customHeight="1" x14ac:dyDescent="0.3"/>
    <row r="556" ht="18" customHeight="1" x14ac:dyDescent="0.3"/>
    <row r="557" ht="18" customHeight="1" x14ac:dyDescent="0.3"/>
    <row r="558" ht="18" customHeight="1" x14ac:dyDescent="0.3"/>
    <row r="559" ht="18" customHeight="1" x14ac:dyDescent="0.3"/>
    <row r="560" ht="18" customHeight="1" x14ac:dyDescent="0.3"/>
    <row r="561" ht="18" customHeight="1" x14ac:dyDescent="0.3"/>
    <row r="562" ht="18" customHeight="1" x14ac:dyDescent="0.3"/>
    <row r="563" ht="18" customHeight="1" x14ac:dyDescent="0.3"/>
    <row r="564" ht="18" customHeight="1" x14ac:dyDescent="0.3"/>
    <row r="565" ht="18" customHeight="1" x14ac:dyDescent="0.3"/>
    <row r="566" ht="18" customHeight="1" x14ac:dyDescent="0.3"/>
    <row r="567" ht="18" customHeight="1" x14ac:dyDescent="0.3"/>
    <row r="568" ht="18" customHeight="1" x14ac:dyDescent="0.3"/>
    <row r="569" ht="18" customHeight="1" x14ac:dyDescent="0.3"/>
    <row r="570" ht="18" customHeight="1" x14ac:dyDescent="0.3"/>
    <row r="571" ht="18" customHeight="1" x14ac:dyDescent="0.3"/>
    <row r="572" ht="18" customHeight="1" x14ac:dyDescent="0.3"/>
    <row r="573" ht="18" customHeight="1" x14ac:dyDescent="0.3"/>
    <row r="574" ht="18" customHeight="1" x14ac:dyDescent="0.3"/>
    <row r="575" ht="18" customHeight="1" x14ac:dyDescent="0.3"/>
    <row r="576" ht="18" customHeight="1" x14ac:dyDescent="0.3"/>
    <row r="577" ht="18" customHeight="1" x14ac:dyDescent="0.3"/>
    <row r="578" ht="18" customHeight="1" x14ac:dyDescent="0.3"/>
    <row r="579" ht="18" customHeight="1" x14ac:dyDescent="0.3"/>
    <row r="580" ht="18" customHeight="1" x14ac:dyDescent="0.3"/>
    <row r="581" ht="18" customHeight="1" x14ac:dyDescent="0.3"/>
    <row r="582" ht="18" customHeight="1" x14ac:dyDescent="0.3"/>
    <row r="583" ht="18" customHeight="1" x14ac:dyDescent="0.3"/>
    <row r="584" ht="18" customHeight="1" x14ac:dyDescent="0.3"/>
    <row r="585" ht="18" customHeight="1" x14ac:dyDescent="0.3"/>
    <row r="586" ht="18" customHeight="1" x14ac:dyDescent="0.3"/>
    <row r="587" ht="18" customHeight="1" x14ac:dyDescent="0.3"/>
    <row r="588" ht="18" customHeight="1" x14ac:dyDescent="0.3"/>
    <row r="589" ht="18" customHeight="1" x14ac:dyDescent="0.3"/>
    <row r="590" ht="18" customHeight="1" x14ac:dyDescent="0.3"/>
    <row r="591" ht="18" customHeight="1" x14ac:dyDescent="0.3"/>
    <row r="592" ht="18" customHeight="1" x14ac:dyDescent="0.3"/>
    <row r="593" ht="18" customHeight="1" x14ac:dyDescent="0.3"/>
    <row r="594" ht="18" customHeight="1" x14ac:dyDescent="0.3"/>
    <row r="595" ht="18" customHeight="1" x14ac:dyDescent="0.3"/>
    <row r="596" ht="18" customHeight="1" x14ac:dyDescent="0.3"/>
    <row r="597" ht="18" customHeight="1" x14ac:dyDescent="0.3"/>
    <row r="598" ht="18" customHeight="1" x14ac:dyDescent="0.3"/>
    <row r="599" ht="18" customHeight="1" x14ac:dyDescent="0.3"/>
    <row r="600" ht="18" customHeight="1" x14ac:dyDescent="0.3"/>
    <row r="601" ht="18" customHeight="1" x14ac:dyDescent="0.3"/>
    <row r="602" ht="18" customHeight="1" x14ac:dyDescent="0.3"/>
    <row r="603" ht="18" customHeight="1" x14ac:dyDescent="0.3"/>
    <row r="604" ht="18" customHeight="1" x14ac:dyDescent="0.3"/>
    <row r="605" ht="18" customHeight="1" x14ac:dyDescent="0.3"/>
    <row r="606" ht="18" customHeight="1" x14ac:dyDescent="0.3"/>
    <row r="607" ht="18" customHeight="1" x14ac:dyDescent="0.3"/>
    <row r="608" ht="18" customHeight="1" x14ac:dyDescent="0.3"/>
    <row r="609" ht="18" customHeight="1" x14ac:dyDescent="0.3"/>
    <row r="610" ht="18" customHeight="1" x14ac:dyDescent="0.3"/>
    <row r="611" ht="18" customHeight="1" x14ac:dyDescent="0.3"/>
    <row r="612" ht="18" customHeight="1" x14ac:dyDescent="0.3"/>
    <row r="613" ht="18" customHeight="1" x14ac:dyDescent="0.3"/>
    <row r="614" ht="18" customHeight="1" x14ac:dyDescent="0.3"/>
    <row r="615" ht="18" customHeight="1" x14ac:dyDescent="0.3"/>
    <row r="616" ht="18" customHeight="1" x14ac:dyDescent="0.3"/>
    <row r="617" ht="18" customHeight="1" x14ac:dyDescent="0.3"/>
    <row r="618" ht="18" customHeight="1" x14ac:dyDescent="0.3"/>
    <row r="619" ht="18" customHeight="1" x14ac:dyDescent="0.3"/>
    <row r="620" ht="18" customHeight="1" x14ac:dyDescent="0.3"/>
    <row r="621" ht="18" customHeight="1" x14ac:dyDescent="0.3"/>
    <row r="622" ht="18" customHeight="1" x14ac:dyDescent="0.3"/>
    <row r="623" ht="18" customHeight="1" x14ac:dyDescent="0.3"/>
    <row r="624" ht="18" customHeight="1" x14ac:dyDescent="0.3"/>
    <row r="625" ht="18" customHeight="1" x14ac:dyDescent="0.3"/>
    <row r="626" ht="18" customHeight="1" x14ac:dyDescent="0.3"/>
    <row r="627" ht="18" customHeight="1" x14ac:dyDescent="0.3"/>
    <row r="628" ht="18" customHeight="1" x14ac:dyDescent="0.3"/>
    <row r="629" ht="18" customHeight="1" x14ac:dyDescent="0.3"/>
    <row r="630" ht="18" customHeight="1" x14ac:dyDescent="0.3"/>
    <row r="631" ht="18" customHeight="1" x14ac:dyDescent="0.3"/>
    <row r="632" ht="18" customHeight="1" x14ac:dyDescent="0.3"/>
    <row r="633" ht="18" customHeight="1" x14ac:dyDescent="0.3"/>
    <row r="634" ht="18" customHeight="1" x14ac:dyDescent="0.3"/>
    <row r="635" ht="18" customHeight="1" x14ac:dyDescent="0.3"/>
    <row r="636" ht="18" customHeight="1" x14ac:dyDescent="0.3"/>
    <row r="637" ht="18" customHeight="1" x14ac:dyDescent="0.3"/>
    <row r="638" ht="18" customHeight="1" x14ac:dyDescent="0.3"/>
    <row r="639" ht="18" customHeight="1" x14ac:dyDescent="0.3"/>
    <row r="640" ht="18" customHeight="1" x14ac:dyDescent="0.3"/>
    <row r="641" ht="18" customHeight="1" x14ac:dyDescent="0.3"/>
    <row r="642" ht="18" customHeight="1" x14ac:dyDescent="0.3"/>
    <row r="643" ht="18" customHeight="1" x14ac:dyDescent="0.3"/>
    <row r="644" ht="18" customHeight="1" x14ac:dyDescent="0.3"/>
    <row r="645" ht="18" customHeight="1" x14ac:dyDescent="0.3"/>
    <row r="646" ht="18" customHeight="1" x14ac:dyDescent="0.3"/>
    <row r="647" ht="18" customHeight="1" x14ac:dyDescent="0.3"/>
    <row r="648" ht="18" customHeight="1" x14ac:dyDescent="0.3"/>
    <row r="649" ht="18" customHeight="1" x14ac:dyDescent="0.3"/>
    <row r="650" ht="18" customHeight="1" x14ac:dyDescent="0.3"/>
    <row r="651" ht="18" customHeight="1" x14ac:dyDescent="0.3"/>
    <row r="652" ht="18" customHeight="1" x14ac:dyDescent="0.3"/>
    <row r="653" ht="18" customHeight="1" x14ac:dyDescent="0.3"/>
    <row r="654" ht="18" customHeight="1" x14ac:dyDescent="0.3"/>
    <row r="655" ht="18" customHeight="1" x14ac:dyDescent="0.3"/>
    <row r="656" ht="18" customHeight="1" x14ac:dyDescent="0.3"/>
    <row r="657" ht="18" customHeight="1" x14ac:dyDescent="0.3"/>
    <row r="658" ht="18" customHeight="1" x14ac:dyDescent="0.3"/>
    <row r="659" ht="18" customHeight="1" x14ac:dyDescent="0.3"/>
    <row r="660" ht="18" customHeight="1" x14ac:dyDescent="0.3"/>
    <row r="661" ht="18" customHeight="1" x14ac:dyDescent="0.3"/>
    <row r="662" ht="18" customHeight="1" x14ac:dyDescent="0.3"/>
    <row r="663" ht="18" customHeight="1" x14ac:dyDescent="0.3"/>
    <row r="664" ht="18" customHeight="1" x14ac:dyDescent="0.3"/>
    <row r="665" ht="18" customHeight="1" x14ac:dyDescent="0.3"/>
    <row r="666" ht="18" customHeight="1" x14ac:dyDescent="0.3"/>
    <row r="667" ht="18" customHeight="1" x14ac:dyDescent="0.3"/>
    <row r="668" ht="18" customHeight="1" x14ac:dyDescent="0.3"/>
    <row r="669" ht="18" customHeight="1" x14ac:dyDescent="0.3"/>
    <row r="670" ht="18" customHeight="1" x14ac:dyDescent="0.3"/>
    <row r="671" ht="18" customHeight="1" x14ac:dyDescent="0.3"/>
    <row r="672" ht="18" customHeight="1" x14ac:dyDescent="0.3"/>
    <row r="673" ht="18" customHeight="1" x14ac:dyDescent="0.3"/>
    <row r="674" ht="18" customHeight="1" x14ac:dyDescent="0.3"/>
    <row r="675" ht="18" customHeight="1" x14ac:dyDescent="0.3"/>
    <row r="676" ht="18" customHeight="1" x14ac:dyDescent="0.3"/>
    <row r="677" ht="18" customHeight="1" x14ac:dyDescent="0.3"/>
    <row r="678" ht="18" customHeight="1" x14ac:dyDescent="0.3"/>
    <row r="679" ht="18" customHeight="1" x14ac:dyDescent="0.3"/>
    <row r="680" ht="18" customHeight="1" x14ac:dyDescent="0.3"/>
    <row r="681" ht="18" customHeight="1" x14ac:dyDescent="0.3"/>
    <row r="682" ht="18" customHeight="1" x14ac:dyDescent="0.3"/>
    <row r="683" ht="18" customHeight="1" x14ac:dyDescent="0.3"/>
    <row r="684" ht="18" customHeight="1" x14ac:dyDescent="0.3"/>
    <row r="685" ht="18" customHeight="1" x14ac:dyDescent="0.3"/>
    <row r="686" ht="18" customHeight="1" x14ac:dyDescent="0.3"/>
    <row r="687" ht="18" customHeight="1" x14ac:dyDescent="0.3"/>
    <row r="688" ht="18" customHeight="1" x14ac:dyDescent="0.3"/>
    <row r="689" ht="18" customHeight="1" x14ac:dyDescent="0.3"/>
    <row r="690" ht="18" customHeight="1" x14ac:dyDescent="0.3"/>
    <row r="691" ht="18" customHeight="1" x14ac:dyDescent="0.3"/>
    <row r="692" ht="18" customHeight="1" x14ac:dyDescent="0.3"/>
    <row r="693" ht="18" customHeight="1" x14ac:dyDescent="0.3"/>
    <row r="694" ht="18" customHeight="1" x14ac:dyDescent="0.3"/>
    <row r="695" ht="18" customHeight="1" x14ac:dyDescent="0.3"/>
    <row r="696" ht="18" customHeight="1" x14ac:dyDescent="0.3"/>
    <row r="697" ht="18" customHeight="1" x14ac:dyDescent="0.3"/>
    <row r="698" ht="18" customHeight="1" x14ac:dyDescent="0.3"/>
    <row r="699" ht="18" customHeight="1" x14ac:dyDescent="0.3"/>
    <row r="700" ht="18" customHeight="1" x14ac:dyDescent="0.3"/>
    <row r="701" ht="18" customHeight="1" x14ac:dyDescent="0.3"/>
    <row r="702" ht="18" customHeight="1" x14ac:dyDescent="0.3"/>
    <row r="703" ht="18" customHeight="1" x14ac:dyDescent="0.3"/>
    <row r="704" ht="18" customHeight="1" x14ac:dyDescent="0.3"/>
    <row r="705" ht="18" customHeight="1" x14ac:dyDescent="0.3"/>
    <row r="706" ht="18" customHeight="1" x14ac:dyDescent="0.3"/>
    <row r="707" ht="18" customHeight="1" x14ac:dyDescent="0.3"/>
    <row r="708" ht="18" customHeight="1" x14ac:dyDescent="0.3"/>
    <row r="709" ht="18" customHeight="1" x14ac:dyDescent="0.3"/>
    <row r="710" ht="18" customHeight="1" x14ac:dyDescent="0.3"/>
    <row r="711" ht="18" customHeight="1" x14ac:dyDescent="0.3"/>
    <row r="712" ht="18" customHeight="1" x14ac:dyDescent="0.3"/>
    <row r="713" ht="18" customHeight="1" x14ac:dyDescent="0.3"/>
    <row r="714" ht="18" customHeight="1" x14ac:dyDescent="0.3"/>
    <row r="715" ht="18" customHeight="1" x14ac:dyDescent="0.3"/>
    <row r="716" ht="18" customHeight="1" x14ac:dyDescent="0.3"/>
    <row r="717" ht="18" customHeight="1" x14ac:dyDescent="0.3"/>
    <row r="718" ht="18" customHeight="1" x14ac:dyDescent="0.3"/>
    <row r="719" ht="18" customHeight="1" x14ac:dyDescent="0.3"/>
    <row r="720" ht="18" customHeight="1" x14ac:dyDescent="0.3"/>
    <row r="721" ht="18" customHeight="1" x14ac:dyDescent="0.3"/>
    <row r="722" ht="18" customHeight="1" x14ac:dyDescent="0.3"/>
    <row r="723" ht="18" customHeight="1" x14ac:dyDescent="0.3"/>
    <row r="724" ht="18" customHeight="1" x14ac:dyDescent="0.3"/>
    <row r="725" ht="18" customHeight="1" x14ac:dyDescent="0.3"/>
    <row r="726" ht="18" customHeight="1" x14ac:dyDescent="0.3"/>
    <row r="727" ht="18" customHeight="1" x14ac:dyDescent="0.3"/>
    <row r="728" ht="18" customHeight="1" x14ac:dyDescent="0.3"/>
    <row r="729" ht="18" customHeight="1" x14ac:dyDescent="0.3"/>
    <row r="730" ht="18" customHeight="1" x14ac:dyDescent="0.3"/>
    <row r="731" ht="18" customHeight="1" x14ac:dyDescent="0.3"/>
    <row r="732" ht="18" customHeight="1" x14ac:dyDescent="0.3"/>
    <row r="733" ht="18" customHeight="1" x14ac:dyDescent="0.3"/>
    <row r="734" ht="18" customHeight="1" x14ac:dyDescent="0.3"/>
    <row r="735" ht="18" customHeight="1" x14ac:dyDescent="0.3"/>
    <row r="736" ht="18" customHeight="1" x14ac:dyDescent="0.3"/>
    <row r="737" ht="18" customHeight="1" x14ac:dyDescent="0.3"/>
    <row r="738" ht="18" customHeight="1" x14ac:dyDescent="0.3"/>
    <row r="739" ht="18" customHeight="1" x14ac:dyDescent="0.3"/>
    <row r="740" ht="18" customHeight="1" x14ac:dyDescent="0.3"/>
    <row r="741" ht="18" customHeight="1" x14ac:dyDescent="0.3"/>
    <row r="742" ht="18" customHeight="1" x14ac:dyDescent="0.3"/>
    <row r="743" ht="18" customHeight="1" x14ac:dyDescent="0.3"/>
    <row r="744" ht="18" customHeight="1" x14ac:dyDescent="0.3"/>
    <row r="745" ht="18" customHeight="1" x14ac:dyDescent="0.3"/>
    <row r="746" ht="18" customHeight="1" x14ac:dyDescent="0.3"/>
    <row r="747" ht="18" customHeight="1" x14ac:dyDescent="0.3"/>
    <row r="748" ht="18" customHeight="1" x14ac:dyDescent="0.3"/>
    <row r="749" ht="18" customHeight="1" x14ac:dyDescent="0.3"/>
    <row r="750" ht="18" customHeight="1" x14ac:dyDescent="0.3"/>
    <row r="751" ht="18" customHeight="1" x14ac:dyDescent="0.3"/>
    <row r="752" ht="18" customHeight="1" x14ac:dyDescent="0.3"/>
    <row r="753" ht="18" customHeight="1" x14ac:dyDescent="0.3"/>
    <row r="754" ht="18" customHeight="1" x14ac:dyDescent="0.3"/>
    <row r="755" ht="18" customHeight="1" x14ac:dyDescent="0.3"/>
    <row r="756" ht="18" customHeight="1" x14ac:dyDescent="0.3"/>
    <row r="757" ht="18" customHeight="1" x14ac:dyDescent="0.3"/>
    <row r="758" ht="18" customHeight="1" x14ac:dyDescent="0.3"/>
    <row r="759" ht="18" customHeight="1" x14ac:dyDescent="0.3"/>
    <row r="760" ht="18" customHeight="1" x14ac:dyDescent="0.3"/>
    <row r="761" ht="18" customHeight="1" x14ac:dyDescent="0.3"/>
    <row r="762" ht="18" customHeight="1" x14ac:dyDescent="0.3"/>
    <row r="763" ht="18" customHeight="1" x14ac:dyDescent="0.3"/>
    <row r="764" ht="18" customHeight="1" x14ac:dyDescent="0.3"/>
    <row r="765" ht="18" customHeight="1" x14ac:dyDescent="0.3"/>
    <row r="766" ht="18" customHeight="1" x14ac:dyDescent="0.3"/>
    <row r="767" ht="18" customHeight="1" x14ac:dyDescent="0.3"/>
    <row r="768" ht="18" customHeight="1" x14ac:dyDescent="0.3"/>
    <row r="769" ht="18" customHeight="1" x14ac:dyDescent="0.3"/>
    <row r="770" ht="18" customHeight="1" x14ac:dyDescent="0.3"/>
    <row r="771" ht="18" customHeight="1" x14ac:dyDescent="0.3"/>
    <row r="772" ht="18" customHeight="1" x14ac:dyDescent="0.3"/>
    <row r="773" ht="18" customHeight="1" x14ac:dyDescent="0.3"/>
    <row r="774" ht="18" customHeight="1" x14ac:dyDescent="0.3"/>
    <row r="775" ht="18" customHeight="1" x14ac:dyDescent="0.3"/>
    <row r="776" ht="18" customHeight="1" x14ac:dyDescent="0.3"/>
    <row r="777" ht="18" customHeight="1" x14ac:dyDescent="0.3"/>
    <row r="778" ht="18" customHeight="1" x14ac:dyDescent="0.3"/>
    <row r="779" ht="18" customHeight="1" x14ac:dyDescent="0.3"/>
    <row r="780" ht="18" customHeight="1" x14ac:dyDescent="0.3"/>
    <row r="781" ht="18" customHeight="1" x14ac:dyDescent="0.3"/>
    <row r="782" ht="18" customHeight="1" x14ac:dyDescent="0.3"/>
    <row r="783" ht="18" customHeight="1" x14ac:dyDescent="0.3"/>
    <row r="784" ht="18" customHeight="1" x14ac:dyDescent="0.3"/>
    <row r="785" ht="18" customHeight="1" x14ac:dyDescent="0.3"/>
    <row r="786" ht="18" customHeight="1" x14ac:dyDescent="0.3"/>
    <row r="787" ht="18" customHeight="1" x14ac:dyDescent="0.3"/>
    <row r="788" ht="18" customHeight="1" x14ac:dyDescent="0.3"/>
    <row r="789" ht="18" customHeight="1" x14ac:dyDescent="0.3"/>
    <row r="790" ht="18" customHeight="1" x14ac:dyDescent="0.3"/>
    <row r="791" ht="18" customHeight="1" x14ac:dyDescent="0.3"/>
    <row r="792" ht="18" customHeight="1" x14ac:dyDescent="0.3"/>
    <row r="793" ht="18" customHeight="1" x14ac:dyDescent="0.3"/>
    <row r="794" ht="18" customHeight="1" x14ac:dyDescent="0.3"/>
    <row r="795" ht="18" customHeight="1" x14ac:dyDescent="0.3"/>
    <row r="796" ht="18" customHeight="1" x14ac:dyDescent="0.3"/>
    <row r="797" ht="18" customHeight="1" x14ac:dyDescent="0.3"/>
    <row r="798" ht="18" customHeight="1" x14ac:dyDescent="0.3"/>
    <row r="799" ht="18" customHeight="1" x14ac:dyDescent="0.3"/>
    <row r="800" ht="18" customHeight="1" x14ac:dyDescent="0.3"/>
    <row r="801" ht="18" customHeight="1" x14ac:dyDescent="0.3"/>
    <row r="802" ht="18" customHeight="1" x14ac:dyDescent="0.3"/>
    <row r="803" ht="18" customHeight="1" x14ac:dyDescent="0.3"/>
    <row r="804" ht="18" customHeight="1" x14ac:dyDescent="0.3"/>
    <row r="805" ht="18" customHeight="1" x14ac:dyDescent="0.3"/>
    <row r="806" ht="18" customHeight="1" x14ac:dyDescent="0.3"/>
    <row r="807" ht="18" customHeight="1" x14ac:dyDescent="0.3"/>
    <row r="808" ht="18" customHeight="1" x14ac:dyDescent="0.3"/>
    <row r="809" ht="18" customHeight="1" x14ac:dyDescent="0.3"/>
    <row r="810" ht="18" customHeight="1" x14ac:dyDescent="0.3"/>
    <row r="811" ht="18" customHeight="1" x14ac:dyDescent="0.3"/>
    <row r="812" ht="18" customHeight="1" x14ac:dyDescent="0.3"/>
    <row r="813" ht="18" customHeight="1" x14ac:dyDescent="0.3"/>
    <row r="814" ht="18" customHeight="1" x14ac:dyDescent="0.3"/>
    <row r="815" ht="18" customHeight="1" x14ac:dyDescent="0.3"/>
    <row r="816" ht="18" customHeight="1" x14ac:dyDescent="0.3"/>
    <row r="817" ht="18" customHeight="1" x14ac:dyDescent="0.3"/>
    <row r="818" ht="18" customHeight="1" x14ac:dyDescent="0.3"/>
    <row r="819" ht="18" customHeight="1" x14ac:dyDescent="0.3"/>
    <row r="820" ht="18" customHeight="1" x14ac:dyDescent="0.3"/>
    <row r="821" ht="18" customHeight="1" x14ac:dyDescent="0.3"/>
    <row r="822" ht="18" customHeight="1" x14ac:dyDescent="0.3"/>
    <row r="823" ht="18" customHeight="1" x14ac:dyDescent="0.3"/>
    <row r="824" ht="18" customHeight="1" x14ac:dyDescent="0.3"/>
    <row r="825" ht="18" customHeight="1" x14ac:dyDescent="0.3"/>
    <row r="826" ht="18" customHeight="1" x14ac:dyDescent="0.3"/>
    <row r="827" ht="18" customHeight="1" x14ac:dyDescent="0.3"/>
    <row r="828" ht="18" customHeight="1" x14ac:dyDescent="0.3"/>
    <row r="829" ht="18" customHeight="1" x14ac:dyDescent="0.3"/>
    <row r="830" ht="18" customHeight="1" x14ac:dyDescent="0.3"/>
    <row r="831" ht="18" customHeight="1" x14ac:dyDescent="0.3"/>
    <row r="832" ht="18" customHeight="1" x14ac:dyDescent="0.3"/>
    <row r="833" ht="18" customHeight="1" x14ac:dyDescent="0.3"/>
    <row r="834" ht="18" customHeight="1" x14ac:dyDescent="0.3"/>
    <row r="835" ht="18" customHeight="1" x14ac:dyDescent="0.3"/>
    <row r="836" ht="18" customHeight="1" x14ac:dyDescent="0.3"/>
    <row r="837" ht="18" customHeight="1" x14ac:dyDescent="0.3"/>
    <row r="838" ht="18" customHeight="1" x14ac:dyDescent="0.3"/>
    <row r="839" ht="18" customHeight="1" x14ac:dyDescent="0.3"/>
    <row r="840" ht="18" customHeight="1" x14ac:dyDescent="0.3"/>
    <row r="841" ht="18" customHeight="1" x14ac:dyDescent="0.3"/>
    <row r="842" ht="18" customHeight="1" x14ac:dyDescent="0.3"/>
    <row r="843" ht="18" customHeight="1" x14ac:dyDescent="0.3"/>
    <row r="844" ht="18" customHeight="1" x14ac:dyDescent="0.3"/>
    <row r="845" ht="18" customHeight="1" x14ac:dyDescent="0.3"/>
    <row r="846" ht="18" customHeight="1" x14ac:dyDescent="0.3"/>
    <row r="847" ht="18" customHeight="1" x14ac:dyDescent="0.3"/>
    <row r="848" ht="18" customHeight="1" x14ac:dyDescent="0.3"/>
    <row r="849" ht="18" customHeight="1" x14ac:dyDescent="0.3"/>
    <row r="850" ht="18" customHeight="1" x14ac:dyDescent="0.3"/>
    <row r="851" ht="18" customHeight="1" x14ac:dyDescent="0.3"/>
    <row r="852" ht="18" customHeight="1" x14ac:dyDescent="0.3"/>
    <row r="853" ht="18" customHeight="1" x14ac:dyDescent="0.3"/>
    <row r="854" ht="18" customHeight="1" x14ac:dyDescent="0.3"/>
    <row r="855" ht="18" customHeight="1" x14ac:dyDescent="0.3"/>
    <row r="856" ht="18" customHeight="1" x14ac:dyDescent="0.3"/>
    <row r="857" ht="18" customHeight="1" x14ac:dyDescent="0.3"/>
    <row r="858" ht="18" customHeight="1" x14ac:dyDescent="0.3"/>
    <row r="859" ht="18" customHeight="1" x14ac:dyDescent="0.3"/>
    <row r="860" ht="18" customHeight="1" x14ac:dyDescent="0.3"/>
    <row r="861" ht="18" customHeight="1" x14ac:dyDescent="0.3"/>
    <row r="862" ht="18" customHeight="1" x14ac:dyDescent="0.3"/>
    <row r="863" ht="18" customHeight="1" x14ac:dyDescent="0.3"/>
    <row r="864" ht="18" customHeight="1" x14ac:dyDescent="0.3"/>
    <row r="865" ht="18" customHeight="1" x14ac:dyDescent="0.3"/>
    <row r="866" ht="18" customHeight="1" x14ac:dyDescent="0.3"/>
    <row r="867" ht="18" customHeight="1" x14ac:dyDescent="0.3"/>
    <row r="868" ht="18" customHeight="1" x14ac:dyDescent="0.3"/>
    <row r="869" ht="18" customHeight="1" x14ac:dyDescent="0.3"/>
    <row r="870" ht="18" customHeight="1" x14ac:dyDescent="0.3"/>
    <row r="871" ht="18" customHeight="1" x14ac:dyDescent="0.3"/>
    <row r="872" ht="18" customHeight="1" x14ac:dyDescent="0.3"/>
    <row r="873" ht="18" customHeight="1" x14ac:dyDescent="0.3"/>
    <row r="874" ht="18" customHeight="1" x14ac:dyDescent="0.3"/>
    <row r="875" ht="18" customHeight="1" x14ac:dyDescent="0.3"/>
    <row r="876" ht="18" customHeight="1" x14ac:dyDescent="0.3"/>
    <row r="877" ht="18" customHeight="1" x14ac:dyDescent="0.3"/>
    <row r="878" ht="18" customHeight="1" x14ac:dyDescent="0.3"/>
    <row r="879" ht="18" customHeight="1" x14ac:dyDescent="0.3"/>
    <row r="880" ht="18" customHeight="1" x14ac:dyDescent="0.3"/>
    <row r="881" ht="18" customHeight="1" x14ac:dyDescent="0.3"/>
    <row r="882" ht="18" customHeight="1" x14ac:dyDescent="0.3"/>
    <row r="883" ht="18" customHeight="1" x14ac:dyDescent="0.3"/>
    <row r="884" ht="18" customHeight="1" x14ac:dyDescent="0.3"/>
    <row r="885" ht="18" customHeight="1" x14ac:dyDescent="0.3"/>
    <row r="886" ht="18" customHeight="1" x14ac:dyDescent="0.3"/>
    <row r="887" ht="18" customHeight="1" x14ac:dyDescent="0.3"/>
    <row r="888" ht="18" customHeight="1" x14ac:dyDescent="0.3"/>
    <row r="889" ht="18" customHeight="1" x14ac:dyDescent="0.3"/>
    <row r="890" ht="18" customHeight="1" x14ac:dyDescent="0.3"/>
    <row r="891" ht="18" customHeight="1" x14ac:dyDescent="0.3"/>
    <row r="892" ht="18" customHeight="1" x14ac:dyDescent="0.3"/>
    <row r="893" ht="18" customHeight="1" x14ac:dyDescent="0.3"/>
    <row r="894" ht="18" customHeight="1" x14ac:dyDescent="0.3"/>
    <row r="895" ht="18" customHeight="1" x14ac:dyDescent="0.3"/>
    <row r="896" ht="18" customHeight="1" x14ac:dyDescent="0.3"/>
    <row r="897" ht="18" customHeight="1" x14ac:dyDescent="0.3"/>
    <row r="898" ht="18" customHeight="1" x14ac:dyDescent="0.3"/>
    <row r="899" ht="18" customHeight="1" x14ac:dyDescent="0.3"/>
    <row r="900" ht="18" customHeight="1" x14ac:dyDescent="0.3"/>
    <row r="901" ht="18" customHeight="1" x14ac:dyDescent="0.3"/>
    <row r="902" ht="18" customHeight="1" x14ac:dyDescent="0.3"/>
    <row r="903" ht="18" customHeight="1" x14ac:dyDescent="0.3"/>
    <row r="904" ht="18" customHeight="1" x14ac:dyDescent="0.3"/>
    <row r="905" ht="18" customHeight="1" x14ac:dyDescent="0.3"/>
    <row r="906" ht="18" customHeight="1" x14ac:dyDescent="0.3"/>
    <row r="907" ht="18" customHeight="1" x14ac:dyDescent="0.3"/>
    <row r="908" ht="18" customHeight="1" x14ac:dyDescent="0.3"/>
    <row r="909" ht="18" customHeight="1" x14ac:dyDescent="0.3"/>
    <row r="910" ht="18" customHeight="1" x14ac:dyDescent="0.3"/>
    <row r="911" ht="18" customHeight="1" x14ac:dyDescent="0.3"/>
    <row r="912" ht="18" customHeight="1" x14ac:dyDescent="0.3"/>
    <row r="913" ht="18" customHeight="1" x14ac:dyDescent="0.3"/>
    <row r="914" ht="18" customHeight="1" x14ac:dyDescent="0.3"/>
    <row r="915" ht="18" customHeight="1" x14ac:dyDescent="0.3"/>
    <row r="916" ht="18" customHeight="1" x14ac:dyDescent="0.3"/>
    <row r="917" ht="18" customHeight="1" x14ac:dyDescent="0.3"/>
    <row r="918" ht="18" customHeight="1" x14ac:dyDescent="0.3"/>
    <row r="919" ht="18" customHeight="1" x14ac:dyDescent="0.3"/>
    <row r="920" ht="18" customHeight="1" x14ac:dyDescent="0.3"/>
    <row r="921" ht="18" customHeight="1" x14ac:dyDescent="0.3"/>
    <row r="922" ht="18" customHeight="1" x14ac:dyDescent="0.3"/>
    <row r="923" ht="18" customHeight="1" x14ac:dyDescent="0.3"/>
    <row r="924" ht="18" customHeight="1" x14ac:dyDescent="0.3"/>
    <row r="925" ht="18" customHeight="1" x14ac:dyDescent="0.3"/>
    <row r="926" ht="18" customHeight="1" x14ac:dyDescent="0.3"/>
    <row r="927" ht="18" customHeight="1" x14ac:dyDescent="0.3"/>
    <row r="928" ht="18" customHeight="1" x14ac:dyDescent="0.3"/>
    <row r="929" ht="18" customHeight="1" x14ac:dyDescent="0.3"/>
    <row r="930" ht="18" customHeight="1" x14ac:dyDescent="0.3"/>
    <row r="931" ht="18" customHeight="1" x14ac:dyDescent="0.3"/>
    <row r="932" ht="18" customHeight="1" x14ac:dyDescent="0.3"/>
    <row r="933" ht="18" customHeight="1" x14ac:dyDescent="0.3"/>
    <row r="934" ht="18" customHeight="1" x14ac:dyDescent="0.3"/>
    <row r="935" ht="18" customHeight="1" x14ac:dyDescent="0.3"/>
    <row r="936" ht="18" customHeight="1" x14ac:dyDescent="0.3"/>
    <row r="937" ht="18" customHeight="1" x14ac:dyDescent="0.3"/>
    <row r="938" ht="18" customHeight="1" x14ac:dyDescent="0.3"/>
    <row r="939" ht="18" customHeight="1" x14ac:dyDescent="0.3"/>
    <row r="940" ht="18" customHeight="1" x14ac:dyDescent="0.3"/>
    <row r="941" ht="18" customHeight="1" x14ac:dyDescent="0.3"/>
    <row r="942" ht="18" customHeight="1" x14ac:dyDescent="0.3"/>
    <row r="943" ht="18" customHeight="1" x14ac:dyDescent="0.3"/>
    <row r="944" ht="18" customHeight="1" x14ac:dyDescent="0.3"/>
    <row r="945" ht="18" customHeight="1" x14ac:dyDescent="0.3"/>
    <row r="946" ht="18" customHeight="1" x14ac:dyDescent="0.3"/>
    <row r="947" ht="18" customHeight="1" x14ac:dyDescent="0.3"/>
    <row r="948" ht="18" customHeight="1" x14ac:dyDescent="0.3"/>
    <row r="949" ht="18" customHeight="1" x14ac:dyDescent="0.3"/>
    <row r="950" ht="18" customHeight="1" x14ac:dyDescent="0.3"/>
    <row r="951" ht="18" customHeight="1" x14ac:dyDescent="0.3"/>
    <row r="952" ht="18" customHeight="1" x14ac:dyDescent="0.3"/>
    <row r="953" ht="18" customHeight="1" x14ac:dyDescent="0.3"/>
    <row r="954" ht="18" customHeight="1" x14ac:dyDescent="0.3"/>
    <row r="955" ht="18" customHeight="1" x14ac:dyDescent="0.3"/>
    <row r="956" ht="18" customHeight="1" x14ac:dyDescent="0.3"/>
    <row r="957" ht="18" customHeight="1" x14ac:dyDescent="0.3"/>
    <row r="958" ht="18" customHeight="1" x14ac:dyDescent="0.3"/>
    <row r="959" ht="18" customHeight="1" x14ac:dyDescent="0.3"/>
    <row r="960" ht="18" customHeight="1" x14ac:dyDescent="0.3"/>
    <row r="961" ht="18" customHeight="1" x14ac:dyDescent="0.3"/>
    <row r="962" ht="18" customHeight="1" x14ac:dyDescent="0.3"/>
    <row r="963" ht="18" customHeight="1" x14ac:dyDescent="0.3"/>
    <row r="964" ht="18" customHeight="1" x14ac:dyDescent="0.3"/>
    <row r="965" ht="18" customHeight="1" x14ac:dyDescent="0.3"/>
    <row r="966" ht="18" customHeight="1" x14ac:dyDescent="0.3"/>
    <row r="967" ht="18" customHeight="1" x14ac:dyDescent="0.3"/>
    <row r="968" ht="18" customHeight="1" x14ac:dyDescent="0.3"/>
    <row r="969" ht="18" customHeight="1" x14ac:dyDescent="0.3"/>
    <row r="970" ht="18" customHeight="1" x14ac:dyDescent="0.3"/>
    <row r="971" ht="18" customHeight="1" x14ac:dyDescent="0.3"/>
    <row r="972" ht="18" customHeight="1" x14ac:dyDescent="0.3"/>
    <row r="973" ht="18" customHeight="1" x14ac:dyDescent="0.3"/>
    <row r="974" ht="18" customHeight="1" x14ac:dyDescent="0.3"/>
    <row r="975" ht="18" customHeight="1" x14ac:dyDescent="0.3"/>
    <row r="976" ht="18" customHeight="1" x14ac:dyDescent="0.3"/>
    <row r="977" ht="18" customHeight="1" x14ac:dyDescent="0.3"/>
    <row r="978" ht="18" customHeight="1" x14ac:dyDescent="0.3"/>
    <row r="979" ht="18" customHeight="1" x14ac:dyDescent="0.3"/>
    <row r="980" ht="18" customHeight="1" x14ac:dyDescent="0.3"/>
    <row r="981" ht="18" customHeight="1" x14ac:dyDescent="0.3"/>
    <row r="982" ht="18" customHeight="1" x14ac:dyDescent="0.3"/>
    <row r="983" ht="18" customHeight="1" x14ac:dyDescent="0.3"/>
    <row r="984" ht="18" customHeight="1" x14ac:dyDescent="0.3"/>
    <row r="985" ht="18" customHeight="1" x14ac:dyDescent="0.3"/>
    <row r="986" ht="18" customHeight="1" x14ac:dyDescent="0.3"/>
    <row r="987" ht="18" customHeight="1" x14ac:dyDescent="0.3"/>
    <row r="988" ht="18" customHeight="1" x14ac:dyDescent="0.3"/>
    <row r="989" ht="18" customHeight="1" x14ac:dyDescent="0.3"/>
    <row r="990" ht="18" customHeight="1" x14ac:dyDescent="0.3"/>
    <row r="991" ht="18" customHeight="1" x14ac:dyDescent="0.3"/>
    <row r="992" ht="18" customHeight="1" x14ac:dyDescent="0.3"/>
    <row r="993" ht="18" customHeight="1" x14ac:dyDescent="0.3"/>
    <row r="994" ht="18" customHeight="1" x14ac:dyDescent="0.3"/>
    <row r="995" ht="18" customHeight="1" x14ac:dyDescent="0.3"/>
    <row r="996" ht="18" customHeight="1" x14ac:dyDescent="0.3"/>
    <row r="997" ht="18" customHeight="1" x14ac:dyDescent="0.3"/>
    <row r="998" ht="18" customHeight="1" x14ac:dyDescent="0.3"/>
    <row r="999" ht="18" customHeight="1" x14ac:dyDescent="0.3"/>
    <row r="1000" ht="18" customHeight="1" x14ac:dyDescent="0.3"/>
  </sheetData>
  <phoneticPr fontId="3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F1003"/>
  <sheetViews>
    <sheetView showGridLines="0" workbookViewId="0">
      <selection activeCell="B11" sqref="B11"/>
    </sheetView>
  </sheetViews>
  <sheetFormatPr defaultColWidth="12.6640625" defaultRowHeight="15" customHeight="1" x14ac:dyDescent="0.3"/>
  <cols>
    <col min="1" max="1" width="3.33203125" customWidth="1"/>
    <col min="2" max="2" width="16.33203125" customWidth="1"/>
    <col min="3" max="3" width="26.33203125" customWidth="1"/>
    <col min="4" max="4" width="18.77734375" customWidth="1"/>
    <col min="5" max="5" width="34.6640625" customWidth="1"/>
    <col min="6" max="6" width="5.6640625" customWidth="1"/>
    <col min="7" max="26" width="7.6640625" customWidth="1"/>
  </cols>
  <sheetData>
    <row r="4" spans="2:6" ht="18" customHeight="1" x14ac:dyDescent="0.3"/>
    <row r="5" spans="2:6" ht="32.4" customHeight="1" x14ac:dyDescent="0.3">
      <c r="B5" s="29"/>
      <c r="C5" s="30" t="s">
        <v>20</v>
      </c>
      <c r="D5" s="30" t="s">
        <v>22</v>
      </c>
      <c r="E5" s="30" t="s">
        <v>24</v>
      </c>
      <c r="F5" s="31"/>
    </row>
    <row r="6" spans="2:6" ht="18" customHeight="1" thickBot="1" x14ac:dyDescent="0.35">
      <c r="B6" s="33" t="s">
        <v>4</v>
      </c>
      <c r="C6" s="34" t="s">
        <v>8</v>
      </c>
      <c r="D6" s="34" t="s">
        <v>5</v>
      </c>
      <c r="E6" s="34" t="s">
        <v>25</v>
      </c>
      <c r="F6" s="34"/>
    </row>
    <row r="7" spans="2:6" ht="18" customHeight="1" thickTop="1" x14ac:dyDescent="0.3">
      <c r="B7" s="32"/>
      <c r="C7" s="32"/>
      <c r="D7" s="32"/>
      <c r="E7" s="32"/>
      <c r="F7" s="32"/>
    </row>
    <row r="8" spans="2:6" ht="18" customHeight="1" x14ac:dyDescent="0.3">
      <c r="B8" s="29"/>
      <c r="C8" s="29"/>
      <c r="D8" s="29"/>
      <c r="E8" s="29"/>
      <c r="F8" s="29"/>
    </row>
    <row r="9" spans="2:6" ht="18" customHeight="1" x14ac:dyDescent="0.3">
      <c r="B9" s="29"/>
      <c r="C9" s="29"/>
      <c r="D9" s="29"/>
      <c r="E9" s="29"/>
      <c r="F9" s="29"/>
    </row>
    <row r="10" spans="2:6" ht="18" customHeight="1" x14ac:dyDescent="0.3"/>
    <row r="11" spans="2:6" ht="18" customHeight="1" x14ac:dyDescent="0.3"/>
    <row r="12" spans="2:6" ht="18" customHeight="1" x14ac:dyDescent="0.3"/>
    <row r="13" spans="2:6" ht="18" customHeight="1" x14ac:dyDescent="0.3"/>
    <row r="14" spans="2:6" ht="18" customHeight="1" x14ac:dyDescent="0.3"/>
    <row r="15" spans="2:6" ht="18" customHeight="1" x14ac:dyDescent="0.3"/>
    <row r="16" spans="2:6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  <row r="549" ht="18" customHeight="1" x14ac:dyDescent="0.3"/>
    <row r="550" ht="18" customHeight="1" x14ac:dyDescent="0.3"/>
    <row r="551" ht="18" customHeight="1" x14ac:dyDescent="0.3"/>
    <row r="552" ht="18" customHeight="1" x14ac:dyDescent="0.3"/>
    <row r="553" ht="18" customHeight="1" x14ac:dyDescent="0.3"/>
    <row r="554" ht="18" customHeight="1" x14ac:dyDescent="0.3"/>
    <row r="555" ht="18" customHeight="1" x14ac:dyDescent="0.3"/>
    <row r="556" ht="18" customHeight="1" x14ac:dyDescent="0.3"/>
    <row r="557" ht="18" customHeight="1" x14ac:dyDescent="0.3"/>
    <row r="558" ht="18" customHeight="1" x14ac:dyDescent="0.3"/>
    <row r="559" ht="18" customHeight="1" x14ac:dyDescent="0.3"/>
    <row r="560" ht="18" customHeight="1" x14ac:dyDescent="0.3"/>
    <row r="561" ht="18" customHeight="1" x14ac:dyDescent="0.3"/>
    <row r="562" ht="18" customHeight="1" x14ac:dyDescent="0.3"/>
    <row r="563" ht="18" customHeight="1" x14ac:dyDescent="0.3"/>
    <row r="564" ht="18" customHeight="1" x14ac:dyDescent="0.3"/>
    <row r="565" ht="18" customHeight="1" x14ac:dyDescent="0.3"/>
    <row r="566" ht="18" customHeight="1" x14ac:dyDescent="0.3"/>
    <row r="567" ht="18" customHeight="1" x14ac:dyDescent="0.3"/>
    <row r="568" ht="18" customHeight="1" x14ac:dyDescent="0.3"/>
    <row r="569" ht="18" customHeight="1" x14ac:dyDescent="0.3"/>
    <row r="570" ht="18" customHeight="1" x14ac:dyDescent="0.3"/>
    <row r="571" ht="18" customHeight="1" x14ac:dyDescent="0.3"/>
    <row r="572" ht="18" customHeight="1" x14ac:dyDescent="0.3"/>
    <row r="573" ht="18" customHeight="1" x14ac:dyDescent="0.3"/>
    <row r="574" ht="18" customHeight="1" x14ac:dyDescent="0.3"/>
    <row r="575" ht="18" customHeight="1" x14ac:dyDescent="0.3"/>
    <row r="576" ht="18" customHeight="1" x14ac:dyDescent="0.3"/>
    <row r="577" ht="18" customHeight="1" x14ac:dyDescent="0.3"/>
    <row r="578" ht="18" customHeight="1" x14ac:dyDescent="0.3"/>
    <row r="579" ht="18" customHeight="1" x14ac:dyDescent="0.3"/>
    <row r="580" ht="18" customHeight="1" x14ac:dyDescent="0.3"/>
    <row r="581" ht="18" customHeight="1" x14ac:dyDescent="0.3"/>
    <row r="582" ht="18" customHeight="1" x14ac:dyDescent="0.3"/>
    <row r="583" ht="18" customHeight="1" x14ac:dyDescent="0.3"/>
    <row r="584" ht="18" customHeight="1" x14ac:dyDescent="0.3"/>
    <row r="585" ht="18" customHeight="1" x14ac:dyDescent="0.3"/>
    <row r="586" ht="18" customHeight="1" x14ac:dyDescent="0.3"/>
    <row r="587" ht="18" customHeight="1" x14ac:dyDescent="0.3"/>
    <row r="588" ht="18" customHeight="1" x14ac:dyDescent="0.3"/>
    <row r="589" ht="18" customHeight="1" x14ac:dyDescent="0.3"/>
    <row r="590" ht="18" customHeight="1" x14ac:dyDescent="0.3"/>
    <row r="591" ht="18" customHeight="1" x14ac:dyDescent="0.3"/>
    <row r="592" ht="18" customHeight="1" x14ac:dyDescent="0.3"/>
    <row r="593" ht="18" customHeight="1" x14ac:dyDescent="0.3"/>
    <row r="594" ht="18" customHeight="1" x14ac:dyDescent="0.3"/>
    <row r="595" ht="18" customHeight="1" x14ac:dyDescent="0.3"/>
    <row r="596" ht="18" customHeight="1" x14ac:dyDescent="0.3"/>
    <row r="597" ht="18" customHeight="1" x14ac:dyDescent="0.3"/>
    <row r="598" ht="18" customHeight="1" x14ac:dyDescent="0.3"/>
    <row r="599" ht="18" customHeight="1" x14ac:dyDescent="0.3"/>
    <row r="600" ht="18" customHeight="1" x14ac:dyDescent="0.3"/>
    <row r="601" ht="18" customHeight="1" x14ac:dyDescent="0.3"/>
    <row r="602" ht="18" customHeight="1" x14ac:dyDescent="0.3"/>
    <row r="603" ht="18" customHeight="1" x14ac:dyDescent="0.3"/>
    <row r="604" ht="18" customHeight="1" x14ac:dyDescent="0.3"/>
    <row r="605" ht="18" customHeight="1" x14ac:dyDescent="0.3"/>
    <row r="606" ht="18" customHeight="1" x14ac:dyDescent="0.3"/>
    <row r="607" ht="18" customHeight="1" x14ac:dyDescent="0.3"/>
    <row r="608" ht="18" customHeight="1" x14ac:dyDescent="0.3"/>
    <row r="609" ht="18" customHeight="1" x14ac:dyDescent="0.3"/>
    <row r="610" ht="18" customHeight="1" x14ac:dyDescent="0.3"/>
    <row r="611" ht="18" customHeight="1" x14ac:dyDescent="0.3"/>
    <row r="612" ht="18" customHeight="1" x14ac:dyDescent="0.3"/>
    <row r="613" ht="18" customHeight="1" x14ac:dyDescent="0.3"/>
    <row r="614" ht="18" customHeight="1" x14ac:dyDescent="0.3"/>
    <row r="615" ht="18" customHeight="1" x14ac:dyDescent="0.3"/>
    <row r="616" ht="18" customHeight="1" x14ac:dyDescent="0.3"/>
    <row r="617" ht="18" customHeight="1" x14ac:dyDescent="0.3"/>
    <row r="618" ht="18" customHeight="1" x14ac:dyDescent="0.3"/>
    <row r="619" ht="18" customHeight="1" x14ac:dyDescent="0.3"/>
    <row r="620" ht="18" customHeight="1" x14ac:dyDescent="0.3"/>
    <row r="621" ht="18" customHeight="1" x14ac:dyDescent="0.3"/>
    <row r="622" ht="18" customHeight="1" x14ac:dyDescent="0.3"/>
    <row r="623" ht="18" customHeight="1" x14ac:dyDescent="0.3"/>
    <row r="624" ht="18" customHeight="1" x14ac:dyDescent="0.3"/>
    <row r="625" ht="18" customHeight="1" x14ac:dyDescent="0.3"/>
    <row r="626" ht="18" customHeight="1" x14ac:dyDescent="0.3"/>
    <row r="627" ht="18" customHeight="1" x14ac:dyDescent="0.3"/>
    <row r="628" ht="18" customHeight="1" x14ac:dyDescent="0.3"/>
    <row r="629" ht="18" customHeight="1" x14ac:dyDescent="0.3"/>
    <row r="630" ht="18" customHeight="1" x14ac:dyDescent="0.3"/>
    <row r="631" ht="18" customHeight="1" x14ac:dyDescent="0.3"/>
    <row r="632" ht="18" customHeight="1" x14ac:dyDescent="0.3"/>
    <row r="633" ht="18" customHeight="1" x14ac:dyDescent="0.3"/>
    <row r="634" ht="18" customHeight="1" x14ac:dyDescent="0.3"/>
    <row r="635" ht="18" customHeight="1" x14ac:dyDescent="0.3"/>
    <row r="636" ht="18" customHeight="1" x14ac:dyDescent="0.3"/>
    <row r="637" ht="18" customHeight="1" x14ac:dyDescent="0.3"/>
    <row r="638" ht="18" customHeight="1" x14ac:dyDescent="0.3"/>
    <row r="639" ht="18" customHeight="1" x14ac:dyDescent="0.3"/>
    <row r="640" ht="18" customHeight="1" x14ac:dyDescent="0.3"/>
    <row r="641" ht="18" customHeight="1" x14ac:dyDescent="0.3"/>
    <row r="642" ht="18" customHeight="1" x14ac:dyDescent="0.3"/>
    <row r="643" ht="18" customHeight="1" x14ac:dyDescent="0.3"/>
    <row r="644" ht="18" customHeight="1" x14ac:dyDescent="0.3"/>
    <row r="645" ht="18" customHeight="1" x14ac:dyDescent="0.3"/>
    <row r="646" ht="18" customHeight="1" x14ac:dyDescent="0.3"/>
    <row r="647" ht="18" customHeight="1" x14ac:dyDescent="0.3"/>
    <row r="648" ht="18" customHeight="1" x14ac:dyDescent="0.3"/>
    <row r="649" ht="18" customHeight="1" x14ac:dyDescent="0.3"/>
    <row r="650" ht="18" customHeight="1" x14ac:dyDescent="0.3"/>
    <row r="651" ht="18" customHeight="1" x14ac:dyDescent="0.3"/>
    <row r="652" ht="18" customHeight="1" x14ac:dyDescent="0.3"/>
    <row r="653" ht="18" customHeight="1" x14ac:dyDescent="0.3"/>
    <row r="654" ht="18" customHeight="1" x14ac:dyDescent="0.3"/>
    <row r="655" ht="18" customHeight="1" x14ac:dyDescent="0.3"/>
    <row r="656" ht="18" customHeight="1" x14ac:dyDescent="0.3"/>
    <row r="657" ht="18" customHeight="1" x14ac:dyDescent="0.3"/>
    <row r="658" ht="18" customHeight="1" x14ac:dyDescent="0.3"/>
    <row r="659" ht="18" customHeight="1" x14ac:dyDescent="0.3"/>
    <row r="660" ht="18" customHeight="1" x14ac:dyDescent="0.3"/>
    <row r="661" ht="18" customHeight="1" x14ac:dyDescent="0.3"/>
    <row r="662" ht="18" customHeight="1" x14ac:dyDescent="0.3"/>
    <row r="663" ht="18" customHeight="1" x14ac:dyDescent="0.3"/>
    <row r="664" ht="18" customHeight="1" x14ac:dyDescent="0.3"/>
    <row r="665" ht="18" customHeight="1" x14ac:dyDescent="0.3"/>
    <row r="666" ht="18" customHeight="1" x14ac:dyDescent="0.3"/>
    <row r="667" ht="18" customHeight="1" x14ac:dyDescent="0.3"/>
    <row r="668" ht="18" customHeight="1" x14ac:dyDescent="0.3"/>
    <row r="669" ht="18" customHeight="1" x14ac:dyDescent="0.3"/>
    <row r="670" ht="18" customHeight="1" x14ac:dyDescent="0.3"/>
    <row r="671" ht="18" customHeight="1" x14ac:dyDescent="0.3"/>
    <row r="672" ht="18" customHeight="1" x14ac:dyDescent="0.3"/>
    <row r="673" ht="18" customHeight="1" x14ac:dyDescent="0.3"/>
    <row r="674" ht="18" customHeight="1" x14ac:dyDescent="0.3"/>
    <row r="675" ht="18" customHeight="1" x14ac:dyDescent="0.3"/>
    <row r="676" ht="18" customHeight="1" x14ac:dyDescent="0.3"/>
    <row r="677" ht="18" customHeight="1" x14ac:dyDescent="0.3"/>
    <row r="678" ht="18" customHeight="1" x14ac:dyDescent="0.3"/>
    <row r="679" ht="18" customHeight="1" x14ac:dyDescent="0.3"/>
    <row r="680" ht="18" customHeight="1" x14ac:dyDescent="0.3"/>
    <row r="681" ht="18" customHeight="1" x14ac:dyDescent="0.3"/>
    <row r="682" ht="18" customHeight="1" x14ac:dyDescent="0.3"/>
    <row r="683" ht="18" customHeight="1" x14ac:dyDescent="0.3"/>
    <row r="684" ht="18" customHeight="1" x14ac:dyDescent="0.3"/>
    <row r="685" ht="18" customHeight="1" x14ac:dyDescent="0.3"/>
    <row r="686" ht="18" customHeight="1" x14ac:dyDescent="0.3"/>
    <row r="687" ht="18" customHeight="1" x14ac:dyDescent="0.3"/>
    <row r="688" ht="18" customHeight="1" x14ac:dyDescent="0.3"/>
    <row r="689" ht="18" customHeight="1" x14ac:dyDescent="0.3"/>
    <row r="690" ht="18" customHeight="1" x14ac:dyDescent="0.3"/>
    <row r="691" ht="18" customHeight="1" x14ac:dyDescent="0.3"/>
    <row r="692" ht="18" customHeight="1" x14ac:dyDescent="0.3"/>
    <row r="693" ht="18" customHeight="1" x14ac:dyDescent="0.3"/>
    <row r="694" ht="18" customHeight="1" x14ac:dyDescent="0.3"/>
    <row r="695" ht="18" customHeight="1" x14ac:dyDescent="0.3"/>
    <row r="696" ht="18" customHeight="1" x14ac:dyDescent="0.3"/>
    <row r="697" ht="18" customHeight="1" x14ac:dyDescent="0.3"/>
    <row r="698" ht="18" customHeight="1" x14ac:dyDescent="0.3"/>
    <row r="699" ht="18" customHeight="1" x14ac:dyDescent="0.3"/>
    <row r="700" ht="18" customHeight="1" x14ac:dyDescent="0.3"/>
    <row r="701" ht="18" customHeight="1" x14ac:dyDescent="0.3"/>
    <row r="702" ht="18" customHeight="1" x14ac:dyDescent="0.3"/>
    <row r="703" ht="18" customHeight="1" x14ac:dyDescent="0.3"/>
    <row r="704" ht="18" customHeight="1" x14ac:dyDescent="0.3"/>
    <row r="705" ht="18" customHeight="1" x14ac:dyDescent="0.3"/>
    <row r="706" ht="18" customHeight="1" x14ac:dyDescent="0.3"/>
    <row r="707" ht="18" customHeight="1" x14ac:dyDescent="0.3"/>
    <row r="708" ht="18" customHeight="1" x14ac:dyDescent="0.3"/>
    <row r="709" ht="18" customHeight="1" x14ac:dyDescent="0.3"/>
    <row r="710" ht="18" customHeight="1" x14ac:dyDescent="0.3"/>
    <row r="711" ht="18" customHeight="1" x14ac:dyDescent="0.3"/>
    <row r="712" ht="18" customHeight="1" x14ac:dyDescent="0.3"/>
    <row r="713" ht="18" customHeight="1" x14ac:dyDescent="0.3"/>
    <row r="714" ht="18" customHeight="1" x14ac:dyDescent="0.3"/>
    <row r="715" ht="18" customHeight="1" x14ac:dyDescent="0.3"/>
    <row r="716" ht="18" customHeight="1" x14ac:dyDescent="0.3"/>
    <row r="717" ht="18" customHeight="1" x14ac:dyDescent="0.3"/>
    <row r="718" ht="18" customHeight="1" x14ac:dyDescent="0.3"/>
    <row r="719" ht="18" customHeight="1" x14ac:dyDescent="0.3"/>
    <row r="720" ht="18" customHeight="1" x14ac:dyDescent="0.3"/>
    <row r="721" ht="18" customHeight="1" x14ac:dyDescent="0.3"/>
    <row r="722" ht="18" customHeight="1" x14ac:dyDescent="0.3"/>
    <row r="723" ht="18" customHeight="1" x14ac:dyDescent="0.3"/>
    <row r="724" ht="18" customHeight="1" x14ac:dyDescent="0.3"/>
    <row r="725" ht="18" customHeight="1" x14ac:dyDescent="0.3"/>
    <row r="726" ht="18" customHeight="1" x14ac:dyDescent="0.3"/>
    <row r="727" ht="18" customHeight="1" x14ac:dyDescent="0.3"/>
    <row r="728" ht="18" customHeight="1" x14ac:dyDescent="0.3"/>
    <row r="729" ht="18" customHeight="1" x14ac:dyDescent="0.3"/>
    <row r="730" ht="18" customHeight="1" x14ac:dyDescent="0.3"/>
    <row r="731" ht="18" customHeight="1" x14ac:dyDescent="0.3"/>
    <row r="732" ht="18" customHeight="1" x14ac:dyDescent="0.3"/>
    <row r="733" ht="18" customHeight="1" x14ac:dyDescent="0.3"/>
    <row r="734" ht="18" customHeight="1" x14ac:dyDescent="0.3"/>
    <row r="735" ht="18" customHeight="1" x14ac:dyDescent="0.3"/>
    <row r="736" ht="18" customHeight="1" x14ac:dyDescent="0.3"/>
    <row r="737" ht="18" customHeight="1" x14ac:dyDescent="0.3"/>
    <row r="738" ht="18" customHeight="1" x14ac:dyDescent="0.3"/>
    <row r="739" ht="18" customHeight="1" x14ac:dyDescent="0.3"/>
    <row r="740" ht="18" customHeight="1" x14ac:dyDescent="0.3"/>
    <row r="741" ht="18" customHeight="1" x14ac:dyDescent="0.3"/>
    <row r="742" ht="18" customHeight="1" x14ac:dyDescent="0.3"/>
    <row r="743" ht="18" customHeight="1" x14ac:dyDescent="0.3"/>
    <row r="744" ht="18" customHeight="1" x14ac:dyDescent="0.3"/>
    <row r="745" ht="18" customHeight="1" x14ac:dyDescent="0.3"/>
    <row r="746" ht="18" customHeight="1" x14ac:dyDescent="0.3"/>
    <row r="747" ht="18" customHeight="1" x14ac:dyDescent="0.3"/>
    <row r="748" ht="18" customHeight="1" x14ac:dyDescent="0.3"/>
    <row r="749" ht="18" customHeight="1" x14ac:dyDescent="0.3"/>
    <row r="750" ht="18" customHeight="1" x14ac:dyDescent="0.3"/>
    <row r="751" ht="18" customHeight="1" x14ac:dyDescent="0.3"/>
    <row r="752" ht="18" customHeight="1" x14ac:dyDescent="0.3"/>
    <row r="753" ht="18" customHeight="1" x14ac:dyDescent="0.3"/>
    <row r="754" ht="18" customHeight="1" x14ac:dyDescent="0.3"/>
    <row r="755" ht="18" customHeight="1" x14ac:dyDescent="0.3"/>
    <row r="756" ht="18" customHeight="1" x14ac:dyDescent="0.3"/>
    <row r="757" ht="18" customHeight="1" x14ac:dyDescent="0.3"/>
    <row r="758" ht="18" customHeight="1" x14ac:dyDescent="0.3"/>
    <row r="759" ht="18" customHeight="1" x14ac:dyDescent="0.3"/>
    <row r="760" ht="18" customHeight="1" x14ac:dyDescent="0.3"/>
    <row r="761" ht="18" customHeight="1" x14ac:dyDescent="0.3"/>
    <row r="762" ht="18" customHeight="1" x14ac:dyDescent="0.3"/>
    <row r="763" ht="18" customHeight="1" x14ac:dyDescent="0.3"/>
    <row r="764" ht="18" customHeight="1" x14ac:dyDescent="0.3"/>
    <row r="765" ht="18" customHeight="1" x14ac:dyDescent="0.3"/>
    <row r="766" ht="18" customHeight="1" x14ac:dyDescent="0.3"/>
    <row r="767" ht="18" customHeight="1" x14ac:dyDescent="0.3"/>
    <row r="768" ht="18" customHeight="1" x14ac:dyDescent="0.3"/>
    <row r="769" ht="18" customHeight="1" x14ac:dyDescent="0.3"/>
    <row r="770" ht="18" customHeight="1" x14ac:dyDescent="0.3"/>
    <row r="771" ht="18" customHeight="1" x14ac:dyDescent="0.3"/>
    <row r="772" ht="18" customHeight="1" x14ac:dyDescent="0.3"/>
    <row r="773" ht="18" customHeight="1" x14ac:dyDescent="0.3"/>
    <row r="774" ht="18" customHeight="1" x14ac:dyDescent="0.3"/>
    <row r="775" ht="18" customHeight="1" x14ac:dyDescent="0.3"/>
    <row r="776" ht="18" customHeight="1" x14ac:dyDescent="0.3"/>
    <row r="777" ht="18" customHeight="1" x14ac:dyDescent="0.3"/>
    <row r="778" ht="18" customHeight="1" x14ac:dyDescent="0.3"/>
    <row r="779" ht="18" customHeight="1" x14ac:dyDescent="0.3"/>
    <row r="780" ht="18" customHeight="1" x14ac:dyDescent="0.3"/>
    <row r="781" ht="18" customHeight="1" x14ac:dyDescent="0.3"/>
    <row r="782" ht="18" customHeight="1" x14ac:dyDescent="0.3"/>
    <row r="783" ht="18" customHeight="1" x14ac:dyDescent="0.3"/>
    <row r="784" ht="18" customHeight="1" x14ac:dyDescent="0.3"/>
    <row r="785" ht="18" customHeight="1" x14ac:dyDescent="0.3"/>
    <row r="786" ht="18" customHeight="1" x14ac:dyDescent="0.3"/>
    <row r="787" ht="18" customHeight="1" x14ac:dyDescent="0.3"/>
    <row r="788" ht="18" customHeight="1" x14ac:dyDescent="0.3"/>
    <row r="789" ht="18" customHeight="1" x14ac:dyDescent="0.3"/>
    <row r="790" ht="18" customHeight="1" x14ac:dyDescent="0.3"/>
    <row r="791" ht="18" customHeight="1" x14ac:dyDescent="0.3"/>
    <row r="792" ht="18" customHeight="1" x14ac:dyDescent="0.3"/>
    <row r="793" ht="18" customHeight="1" x14ac:dyDescent="0.3"/>
    <row r="794" ht="18" customHeight="1" x14ac:dyDescent="0.3"/>
    <row r="795" ht="18" customHeight="1" x14ac:dyDescent="0.3"/>
    <row r="796" ht="18" customHeight="1" x14ac:dyDescent="0.3"/>
    <row r="797" ht="18" customHeight="1" x14ac:dyDescent="0.3"/>
    <row r="798" ht="18" customHeight="1" x14ac:dyDescent="0.3"/>
    <row r="799" ht="18" customHeight="1" x14ac:dyDescent="0.3"/>
    <row r="800" ht="18" customHeight="1" x14ac:dyDescent="0.3"/>
    <row r="801" ht="18" customHeight="1" x14ac:dyDescent="0.3"/>
    <row r="802" ht="18" customHeight="1" x14ac:dyDescent="0.3"/>
    <row r="803" ht="18" customHeight="1" x14ac:dyDescent="0.3"/>
    <row r="804" ht="18" customHeight="1" x14ac:dyDescent="0.3"/>
    <row r="805" ht="18" customHeight="1" x14ac:dyDescent="0.3"/>
    <row r="806" ht="18" customHeight="1" x14ac:dyDescent="0.3"/>
    <row r="807" ht="18" customHeight="1" x14ac:dyDescent="0.3"/>
    <row r="808" ht="18" customHeight="1" x14ac:dyDescent="0.3"/>
    <row r="809" ht="18" customHeight="1" x14ac:dyDescent="0.3"/>
    <row r="810" ht="18" customHeight="1" x14ac:dyDescent="0.3"/>
    <row r="811" ht="18" customHeight="1" x14ac:dyDescent="0.3"/>
    <row r="812" ht="18" customHeight="1" x14ac:dyDescent="0.3"/>
    <row r="813" ht="18" customHeight="1" x14ac:dyDescent="0.3"/>
    <row r="814" ht="18" customHeight="1" x14ac:dyDescent="0.3"/>
    <row r="815" ht="18" customHeight="1" x14ac:dyDescent="0.3"/>
    <row r="816" ht="18" customHeight="1" x14ac:dyDescent="0.3"/>
    <row r="817" ht="18" customHeight="1" x14ac:dyDescent="0.3"/>
    <row r="818" ht="18" customHeight="1" x14ac:dyDescent="0.3"/>
    <row r="819" ht="18" customHeight="1" x14ac:dyDescent="0.3"/>
    <row r="820" ht="18" customHeight="1" x14ac:dyDescent="0.3"/>
    <row r="821" ht="18" customHeight="1" x14ac:dyDescent="0.3"/>
    <row r="822" ht="18" customHeight="1" x14ac:dyDescent="0.3"/>
    <row r="823" ht="18" customHeight="1" x14ac:dyDescent="0.3"/>
    <row r="824" ht="18" customHeight="1" x14ac:dyDescent="0.3"/>
    <row r="825" ht="18" customHeight="1" x14ac:dyDescent="0.3"/>
    <row r="826" ht="18" customHeight="1" x14ac:dyDescent="0.3"/>
    <row r="827" ht="18" customHeight="1" x14ac:dyDescent="0.3"/>
    <row r="828" ht="18" customHeight="1" x14ac:dyDescent="0.3"/>
    <row r="829" ht="18" customHeight="1" x14ac:dyDescent="0.3"/>
    <row r="830" ht="18" customHeight="1" x14ac:dyDescent="0.3"/>
    <row r="831" ht="18" customHeight="1" x14ac:dyDescent="0.3"/>
    <row r="832" ht="18" customHeight="1" x14ac:dyDescent="0.3"/>
    <row r="833" ht="18" customHeight="1" x14ac:dyDescent="0.3"/>
    <row r="834" ht="18" customHeight="1" x14ac:dyDescent="0.3"/>
    <row r="835" ht="18" customHeight="1" x14ac:dyDescent="0.3"/>
    <row r="836" ht="18" customHeight="1" x14ac:dyDescent="0.3"/>
    <row r="837" ht="18" customHeight="1" x14ac:dyDescent="0.3"/>
    <row r="838" ht="18" customHeight="1" x14ac:dyDescent="0.3"/>
    <row r="839" ht="18" customHeight="1" x14ac:dyDescent="0.3"/>
    <row r="840" ht="18" customHeight="1" x14ac:dyDescent="0.3"/>
    <row r="841" ht="18" customHeight="1" x14ac:dyDescent="0.3"/>
    <row r="842" ht="18" customHeight="1" x14ac:dyDescent="0.3"/>
    <row r="843" ht="18" customHeight="1" x14ac:dyDescent="0.3"/>
    <row r="844" ht="18" customHeight="1" x14ac:dyDescent="0.3"/>
    <row r="845" ht="18" customHeight="1" x14ac:dyDescent="0.3"/>
    <row r="846" ht="18" customHeight="1" x14ac:dyDescent="0.3"/>
    <row r="847" ht="18" customHeight="1" x14ac:dyDescent="0.3"/>
    <row r="848" ht="18" customHeight="1" x14ac:dyDescent="0.3"/>
    <row r="849" ht="18" customHeight="1" x14ac:dyDescent="0.3"/>
    <row r="850" ht="18" customHeight="1" x14ac:dyDescent="0.3"/>
    <row r="851" ht="18" customHeight="1" x14ac:dyDescent="0.3"/>
    <row r="852" ht="18" customHeight="1" x14ac:dyDescent="0.3"/>
    <row r="853" ht="18" customHeight="1" x14ac:dyDescent="0.3"/>
    <row r="854" ht="18" customHeight="1" x14ac:dyDescent="0.3"/>
    <row r="855" ht="18" customHeight="1" x14ac:dyDescent="0.3"/>
    <row r="856" ht="18" customHeight="1" x14ac:dyDescent="0.3"/>
    <row r="857" ht="18" customHeight="1" x14ac:dyDescent="0.3"/>
    <row r="858" ht="18" customHeight="1" x14ac:dyDescent="0.3"/>
    <row r="859" ht="18" customHeight="1" x14ac:dyDescent="0.3"/>
    <row r="860" ht="18" customHeight="1" x14ac:dyDescent="0.3"/>
    <row r="861" ht="18" customHeight="1" x14ac:dyDescent="0.3"/>
    <row r="862" ht="18" customHeight="1" x14ac:dyDescent="0.3"/>
    <row r="863" ht="18" customHeight="1" x14ac:dyDescent="0.3"/>
    <row r="864" ht="18" customHeight="1" x14ac:dyDescent="0.3"/>
    <row r="865" ht="18" customHeight="1" x14ac:dyDescent="0.3"/>
    <row r="866" ht="18" customHeight="1" x14ac:dyDescent="0.3"/>
    <row r="867" ht="18" customHeight="1" x14ac:dyDescent="0.3"/>
    <row r="868" ht="18" customHeight="1" x14ac:dyDescent="0.3"/>
    <row r="869" ht="18" customHeight="1" x14ac:dyDescent="0.3"/>
    <row r="870" ht="18" customHeight="1" x14ac:dyDescent="0.3"/>
    <row r="871" ht="18" customHeight="1" x14ac:dyDescent="0.3"/>
    <row r="872" ht="18" customHeight="1" x14ac:dyDescent="0.3"/>
    <row r="873" ht="18" customHeight="1" x14ac:dyDescent="0.3"/>
    <row r="874" ht="18" customHeight="1" x14ac:dyDescent="0.3"/>
    <row r="875" ht="18" customHeight="1" x14ac:dyDescent="0.3"/>
    <row r="876" ht="18" customHeight="1" x14ac:dyDescent="0.3"/>
    <row r="877" ht="18" customHeight="1" x14ac:dyDescent="0.3"/>
    <row r="878" ht="18" customHeight="1" x14ac:dyDescent="0.3"/>
    <row r="879" ht="18" customHeight="1" x14ac:dyDescent="0.3"/>
    <row r="880" ht="18" customHeight="1" x14ac:dyDescent="0.3"/>
    <row r="881" ht="18" customHeight="1" x14ac:dyDescent="0.3"/>
    <row r="882" ht="18" customHeight="1" x14ac:dyDescent="0.3"/>
    <row r="883" ht="18" customHeight="1" x14ac:dyDescent="0.3"/>
    <row r="884" ht="18" customHeight="1" x14ac:dyDescent="0.3"/>
    <row r="885" ht="18" customHeight="1" x14ac:dyDescent="0.3"/>
    <row r="886" ht="18" customHeight="1" x14ac:dyDescent="0.3"/>
    <row r="887" ht="18" customHeight="1" x14ac:dyDescent="0.3"/>
    <row r="888" ht="18" customHeight="1" x14ac:dyDescent="0.3"/>
    <row r="889" ht="18" customHeight="1" x14ac:dyDescent="0.3"/>
    <row r="890" ht="18" customHeight="1" x14ac:dyDescent="0.3"/>
    <row r="891" ht="18" customHeight="1" x14ac:dyDescent="0.3"/>
    <row r="892" ht="18" customHeight="1" x14ac:dyDescent="0.3"/>
    <row r="893" ht="18" customHeight="1" x14ac:dyDescent="0.3"/>
    <row r="894" ht="18" customHeight="1" x14ac:dyDescent="0.3"/>
    <row r="895" ht="18" customHeight="1" x14ac:dyDescent="0.3"/>
    <row r="896" ht="18" customHeight="1" x14ac:dyDescent="0.3"/>
    <row r="897" ht="18" customHeight="1" x14ac:dyDescent="0.3"/>
    <row r="898" ht="18" customHeight="1" x14ac:dyDescent="0.3"/>
    <row r="899" ht="18" customHeight="1" x14ac:dyDescent="0.3"/>
    <row r="900" ht="18" customHeight="1" x14ac:dyDescent="0.3"/>
    <row r="901" ht="18" customHeight="1" x14ac:dyDescent="0.3"/>
    <row r="902" ht="18" customHeight="1" x14ac:dyDescent="0.3"/>
    <row r="903" ht="18" customHeight="1" x14ac:dyDescent="0.3"/>
    <row r="904" ht="18" customHeight="1" x14ac:dyDescent="0.3"/>
    <row r="905" ht="18" customHeight="1" x14ac:dyDescent="0.3"/>
    <row r="906" ht="18" customHeight="1" x14ac:dyDescent="0.3"/>
    <row r="907" ht="18" customHeight="1" x14ac:dyDescent="0.3"/>
    <row r="908" ht="18" customHeight="1" x14ac:dyDescent="0.3"/>
    <row r="909" ht="18" customHeight="1" x14ac:dyDescent="0.3"/>
    <row r="910" ht="18" customHeight="1" x14ac:dyDescent="0.3"/>
    <row r="911" ht="18" customHeight="1" x14ac:dyDescent="0.3"/>
    <row r="912" ht="18" customHeight="1" x14ac:dyDescent="0.3"/>
    <row r="913" ht="18" customHeight="1" x14ac:dyDescent="0.3"/>
    <row r="914" ht="18" customHeight="1" x14ac:dyDescent="0.3"/>
    <row r="915" ht="18" customHeight="1" x14ac:dyDescent="0.3"/>
    <row r="916" ht="18" customHeight="1" x14ac:dyDescent="0.3"/>
    <row r="917" ht="18" customHeight="1" x14ac:dyDescent="0.3"/>
    <row r="918" ht="18" customHeight="1" x14ac:dyDescent="0.3"/>
    <row r="919" ht="18" customHeight="1" x14ac:dyDescent="0.3"/>
    <row r="920" ht="18" customHeight="1" x14ac:dyDescent="0.3"/>
    <row r="921" ht="18" customHeight="1" x14ac:dyDescent="0.3"/>
    <row r="922" ht="18" customHeight="1" x14ac:dyDescent="0.3"/>
    <row r="923" ht="18" customHeight="1" x14ac:dyDescent="0.3"/>
    <row r="924" ht="18" customHeight="1" x14ac:dyDescent="0.3"/>
    <row r="925" ht="18" customHeight="1" x14ac:dyDescent="0.3"/>
    <row r="926" ht="18" customHeight="1" x14ac:dyDescent="0.3"/>
    <row r="927" ht="18" customHeight="1" x14ac:dyDescent="0.3"/>
    <row r="928" ht="18" customHeight="1" x14ac:dyDescent="0.3"/>
    <row r="929" ht="18" customHeight="1" x14ac:dyDescent="0.3"/>
    <row r="930" ht="18" customHeight="1" x14ac:dyDescent="0.3"/>
    <row r="931" ht="18" customHeight="1" x14ac:dyDescent="0.3"/>
    <row r="932" ht="18" customHeight="1" x14ac:dyDescent="0.3"/>
    <row r="933" ht="18" customHeight="1" x14ac:dyDescent="0.3"/>
    <row r="934" ht="18" customHeight="1" x14ac:dyDescent="0.3"/>
    <row r="935" ht="18" customHeight="1" x14ac:dyDescent="0.3"/>
    <row r="936" ht="18" customHeight="1" x14ac:dyDescent="0.3"/>
    <row r="937" ht="18" customHeight="1" x14ac:dyDescent="0.3"/>
    <row r="938" ht="18" customHeight="1" x14ac:dyDescent="0.3"/>
    <row r="939" ht="18" customHeight="1" x14ac:dyDescent="0.3"/>
    <row r="940" ht="18" customHeight="1" x14ac:dyDescent="0.3"/>
    <row r="941" ht="18" customHeight="1" x14ac:dyDescent="0.3"/>
    <row r="942" ht="18" customHeight="1" x14ac:dyDescent="0.3"/>
    <row r="943" ht="18" customHeight="1" x14ac:dyDescent="0.3"/>
    <row r="944" ht="18" customHeight="1" x14ac:dyDescent="0.3"/>
    <row r="945" ht="18" customHeight="1" x14ac:dyDescent="0.3"/>
    <row r="946" ht="18" customHeight="1" x14ac:dyDescent="0.3"/>
    <row r="947" ht="18" customHeight="1" x14ac:dyDescent="0.3"/>
    <row r="948" ht="18" customHeight="1" x14ac:dyDescent="0.3"/>
    <row r="949" ht="18" customHeight="1" x14ac:dyDescent="0.3"/>
    <row r="950" ht="18" customHeight="1" x14ac:dyDescent="0.3"/>
    <row r="951" ht="18" customHeight="1" x14ac:dyDescent="0.3"/>
    <row r="952" ht="18" customHeight="1" x14ac:dyDescent="0.3"/>
    <row r="953" ht="18" customHeight="1" x14ac:dyDescent="0.3"/>
    <row r="954" ht="18" customHeight="1" x14ac:dyDescent="0.3"/>
    <row r="955" ht="18" customHeight="1" x14ac:dyDescent="0.3"/>
    <row r="956" ht="18" customHeight="1" x14ac:dyDescent="0.3"/>
    <row r="957" ht="18" customHeight="1" x14ac:dyDescent="0.3"/>
    <row r="958" ht="18" customHeight="1" x14ac:dyDescent="0.3"/>
    <row r="959" ht="18" customHeight="1" x14ac:dyDescent="0.3"/>
    <row r="960" ht="18" customHeight="1" x14ac:dyDescent="0.3"/>
    <row r="961" ht="18" customHeight="1" x14ac:dyDescent="0.3"/>
    <row r="962" ht="18" customHeight="1" x14ac:dyDescent="0.3"/>
    <row r="963" ht="18" customHeight="1" x14ac:dyDescent="0.3"/>
    <row r="964" ht="18" customHeight="1" x14ac:dyDescent="0.3"/>
    <row r="965" ht="18" customHeight="1" x14ac:dyDescent="0.3"/>
    <row r="966" ht="18" customHeight="1" x14ac:dyDescent="0.3"/>
    <row r="967" ht="18" customHeight="1" x14ac:dyDescent="0.3"/>
    <row r="968" ht="18" customHeight="1" x14ac:dyDescent="0.3"/>
    <row r="969" ht="18" customHeight="1" x14ac:dyDescent="0.3"/>
    <row r="970" ht="18" customHeight="1" x14ac:dyDescent="0.3"/>
    <row r="971" ht="18" customHeight="1" x14ac:dyDescent="0.3"/>
    <row r="972" ht="18" customHeight="1" x14ac:dyDescent="0.3"/>
    <row r="973" ht="18" customHeight="1" x14ac:dyDescent="0.3"/>
    <row r="974" ht="18" customHeight="1" x14ac:dyDescent="0.3"/>
    <row r="975" ht="18" customHeight="1" x14ac:dyDescent="0.3"/>
    <row r="976" ht="18" customHeight="1" x14ac:dyDescent="0.3"/>
    <row r="977" ht="18" customHeight="1" x14ac:dyDescent="0.3"/>
    <row r="978" ht="18" customHeight="1" x14ac:dyDescent="0.3"/>
    <row r="979" ht="18" customHeight="1" x14ac:dyDescent="0.3"/>
    <row r="980" ht="18" customHeight="1" x14ac:dyDescent="0.3"/>
    <row r="981" ht="18" customHeight="1" x14ac:dyDescent="0.3"/>
    <row r="982" ht="18" customHeight="1" x14ac:dyDescent="0.3"/>
    <row r="983" ht="18" customHeight="1" x14ac:dyDescent="0.3"/>
    <row r="984" ht="18" customHeight="1" x14ac:dyDescent="0.3"/>
    <row r="985" ht="18" customHeight="1" x14ac:dyDescent="0.3"/>
    <row r="986" ht="18" customHeight="1" x14ac:dyDescent="0.3"/>
    <row r="987" ht="18" customHeight="1" x14ac:dyDescent="0.3"/>
    <row r="988" ht="18" customHeight="1" x14ac:dyDescent="0.3"/>
    <row r="989" ht="18" customHeight="1" x14ac:dyDescent="0.3"/>
    <row r="990" ht="18" customHeight="1" x14ac:dyDescent="0.3"/>
    <row r="991" ht="18" customHeight="1" x14ac:dyDescent="0.3"/>
    <row r="992" ht="18" customHeight="1" x14ac:dyDescent="0.3"/>
    <row r="993" ht="18" customHeight="1" x14ac:dyDescent="0.3"/>
    <row r="994" ht="18" customHeight="1" x14ac:dyDescent="0.3"/>
    <row r="995" ht="18" customHeight="1" x14ac:dyDescent="0.3"/>
    <row r="996" ht="18" customHeight="1" x14ac:dyDescent="0.3"/>
    <row r="997" ht="18" customHeight="1" x14ac:dyDescent="0.3"/>
    <row r="998" ht="18" customHeight="1" x14ac:dyDescent="0.3"/>
    <row r="999" ht="18" customHeight="1" x14ac:dyDescent="0.3"/>
    <row r="1000" ht="18" customHeight="1" x14ac:dyDescent="0.3"/>
    <row r="1001" ht="18" customHeight="1" x14ac:dyDescent="0.3"/>
    <row r="1002" ht="18" customHeight="1" x14ac:dyDescent="0.3"/>
    <row r="1003" ht="18" customHeight="1" x14ac:dyDescent="0.3"/>
  </sheetData>
  <phoneticPr fontId="3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grid-power</vt:lpstr>
      <vt:lpstr>onsite-power</vt:lpstr>
      <vt:lpstr>Sytem-cost</vt:lpstr>
      <vt:lpstr>option-offsite-power</vt:lpstr>
      <vt:lpstr>option-Fuel</vt:lpstr>
      <vt:lpstr>option-Wheeling</vt:lpstr>
      <vt:lpstr>WHR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CVS Kojima</dc:creator>
  <cp:lastModifiedBy>CVS Kojima</cp:lastModifiedBy>
  <dcterms:created xsi:type="dcterms:W3CDTF">2026-08-24T21:13:11Z</dcterms:created>
  <dcterms:modified xsi:type="dcterms:W3CDTF">2026-08-25T20:21:02Z</dcterms:modified>
</cp:coreProperties>
</file>